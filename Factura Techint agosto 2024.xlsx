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11 PROYESCO\"/>
    </mc:Choice>
  </mc:AlternateContent>
  <xr:revisionPtr revIDLastSave="0" documentId="13_ncr:1_{D5ECAA27-3A8D-446F-B62D-7E080190D7EA}" xr6:coauthVersionLast="47" xr6:coauthVersionMax="47" xr10:uidLastSave="{00000000-0000-0000-0000-000000000000}"/>
  <bookViews>
    <workbookView xWindow="20370" yWindow="-1485" windowWidth="29040" windowHeight="15720" xr2:uid="{7D2C2049-A18F-478E-BC7A-68198B1AC0C3}"/>
  </bookViews>
  <sheets>
    <sheet name="Hoja1" sheetId="1" r:id="rId1"/>
  </sheets>
  <definedNames>
    <definedName name="_xlnm._FilterDatabase" localSheetId="0" hidden="1">Hoja1!$A$1:$E$32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L31" i="1"/>
  <c r="M31" i="1"/>
  <c r="K31" i="1"/>
  <c r="N24" i="1"/>
  <c r="M24" i="1"/>
  <c r="L24" i="1"/>
  <c r="K24" i="1"/>
  <c r="N17" i="1"/>
  <c r="M17" i="1"/>
  <c r="L17" i="1"/>
  <c r="K17" i="1"/>
  <c r="N9" i="1"/>
  <c r="L9" i="1"/>
  <c r="M9" i="1"/>
  <c r="K9" i="1"/>
  <c r="I2" i="1"/>
  <c r="J2" i="1"/>
  <c r="I3" i="1"/>
  <c r="J3" i="1" s="1"/>
  <c r="I4" i="1"/>
  <c r="J4" i="1"/>
  <c r="I5" i="1"/>
  <c r="J5" i="1"/>
  <c r="I6" i="1"/>
  <c r="J6" i="1"/>
  <c r="I7" i="1"/>
  <c r="J7" i="1" s="1"/>
  <c r="I8" i="1"/>
  <c r="J8" i="1"/>
  <c r="I9" i="1"/>
  <c r="J9" i="1"/>
  <c r="I10" i="1"/>
  <c r="J10" i="1"/>
  <c r="I11" i="1"/>
  <c r="J11" i="1" s="1"/>
  <c r="I12" i="1"/>
  <c r="J12" i="1"/>
  <c r="I13" i="1"/>
  <c r="J13" i="1"/>
  <c r="I14" i="1"/>
  <c r="J14" i="1" s="1"/>
  <c r="I15" i="1"/>
  <c r="J15" i="1" s="1"/>
  <c r="I16" i="1"/>
  <c r="J16" i="1"/>
  <c r="I17" i="1"/>
  <c r="J17" i="1"/>
  <c r="I18" i="1"/>
  <c r="J18" i="1"/>
  <c r="I19" i="1"/>
  <c r="J19" i="1" s="1"/>
  <c r="I20" i="1"/>
  <c r="J20" i="1"/>
  <c r="I21" i="1"/>
  <c r="J21" i="1"/>
  <c r="I22" i="1"/>
  <c r="J22" i="1"/>
  <c r="I23" i="1"/>
  <c r="J23" i="1" s="1"/>
  <c r="I24" i="1"/>
  <c r="J24" i="1"/>
  <c r="I25" i="1"/>
  <c r="J25" i="1"/>
  <c r="I26" i="1"/>
  <c r="J26" i="1"/>
  <c r="I27" i="1"/>
  <c r="J27" i="1" s="1"/>
  <c r="I28" i="1"/>
  <c r="J28" i="1"/>
  <c r="I29" i="1"/>
  <c r="J29" i="1"/>
  <c r="I30" i="1"/>
  <c r="J30" i="1"/>
  <c r="I31" i="1"/>
  <c r="J31" i="1" s="1"/>
  <c r="J32" i="1"/>
  <c r="I32" i="1"/>
  <c r="H32" i="1"/>
  <c r="H3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32" i="1"/>
</calcChain>
</file>

<file path=xl/sharedStrings.xml><?xml version="1.0" encoding="utf-8"?>
<sst xmlns="http://schemas.openxmlformats.org/spreadsheetml/2006/main" count="41" uniqueCount="19">
  <si>
    <t>Item</t>
  </si>
  <si>
    <t>Material</t>
  </si>
  <si>
    <t>Item Description</t>
  </si>
  <si>
    <t>Access Switch (RISC)</t>
  </si>
  <si>
    <t>Communication Racks - Nema 4X</t>
  </si>
  <si>
    <t>FIber Optic distributor ( ODF)</t>
  </si>
  <si>
    <t>Patch Panel</t>
  </si>
  <si>
    <t>Border Switch (RISC)</t>
  </si>
  <si>
    <t>Border Switch (RAG)</t>
  </si>
  <si>
    <t>Access Switch (RAG)</t>
  </si>
  <si>
    <t>Communication Racks - Wall Mounted</t>
  </si>
  <si>
    <t>Cantidad</t>
  </si>
  <si>
    <t>Importe</t>
  </si>
  <si>
    <t>tc</t>
  </si>
  <si>
    <t>en pesos</t>
  </si>
  <si>
    <t>PO N° 4500455766 Rev 1 Fase 1</t>
  </si>
  <si>
    <t>Migo GD 47: 5003771497</t>
  </si>
  <si>
    <t>Migo GD 48: 5003771499</t>
  </si>
  <si>
    <t>USD 23819.25- T/C 937,18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</si>
</sst>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E2841"/>
      <name val="Calibri"/>
      <family val="2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3" fontId="0" fillId="0" borderId="0" xfId="1" applyFont="1"/>
    <xf numFmtId="43" fontId="0" fillId="0" borderId="1" xfId="1" applyFont="1" applyBorder="1"/>
    <xf numFmtId="166" fontId="0" fillId="0" borderId="0" xfId="1" applyNumberFormat="1" applyFont="1"/>
    <xf numFmtId="166" fontId="3" fillId="0" borderId="0" xfId="1" applyNumberFormat="1" applyFont="1"/>
    <xf numFmtId="0" fontId="4" fillId="0" borderId="0" xfId="0" applyFont="1" applyAlignment="1">
      <alignment vertical="center" wrapText="1"/>
    </xf>
    <xf numFmtId="0" fontId="3" fillId="0" borderId="0" xfId="0" applyFont="1"/>
    <xf numFmtId="166" fontId="5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2917-DF97-4531-B2B8-27ED71EFBE9D}">
  <dimension ref="A1:N39"/>
  <sheetViews>
    <sheetView tabSelected="1" zoomScale="90" zoomScaleNormal="90" workbookViewId="0">
      <selection activeCell="N32" sqref="N32"/>
    </sheetView>
  </sheetViews>
  <sheetFormatPr baseColWidth="10" defaultRowHeight="15" x14ac:dyDescent="0.25"/>
  <cols>
    <col min="1" max="1" width="4.5703125" style="1" bestFit="1" customWidth="1"/>
    <col min="2" max="2" width="8.28515625" bestFit="1" customWidth="1"/>
    <col min="3" max="3" width="31.7109375" bestFit="1" customWidth="1"/>
    <col min="4" max="4" width="7.5703125" bestFit="1" customWidth="1"/>
    <col min="5" max="5" width="12.42578125" style="3" customWidth="1"/>
    <col min="6" max="6" width="3.140625" customWidth="1"/>
    <col min="8" max="8" width="14.5703125" style="8" bestFit="1" customWidth="1"/>
    <col min="9" max="9" width="15.5703125" bestFit="1" customWidth="1"/>
    <col min="10" max="10" width="16.7109375" bestFit="1" customWidth="1"/>
    <col min="11" max="11" width="14.85546875" bestFit="1" customWidth="1"/>
    <col min="12" max="12" width="12.140625" bestFit="1" customWidth="1"/>
    <col min="13" max="13" width="13.28515625" bestFit="1" customWidth="1"/>
    <col min="14" max="14" width="12.140625" bestFit="1" customWidth="1"/>
  </cols>
  <sheetData>
    <row r="1" spans="1:14" x14ac:dyDescent="0.25">
      <c r="A1" s="1" t="s">
        <v>0</v>
      </c>
      <c r="B1" t="s">
        <v>11</v>
      </c>
      <c r="C1" t="s">
        <v>2</v>
      </c>
      <c r="D1" t="s">
        <v>1</v>
      </c>
      <c r="E1" s="3" t="s">
        <v>12</v>
      </c>
      <c r="G1" t="s">
        <v>13</v>
      </c>
      <c r="H1" s="8" t="s">
        <v>14</v>
      </c>
    </row>
    <row r="2" spans="1:14" x14ac:dyDescent="0.25">
      <c r="A2">
        <v>10</v>
      </c>
      <c r="B2">
        <v>1</v>
      </c>
      <c r="C2" s="10" t="s">
        <v>3</v>
      </c>
      <c r="D2" s="2">
        <v>6330</v>
      </c>
      <c r="E2" s="3">
        <v>7964.3</v>
      </c>
      <c r="G2">
        <v>937.18</v>
      </c>
      <c r="H2" s="6">
        <f>E2*G2</f>
        <v>7463982.6739999996</v>
      </c>
      <c r="I2" s="5">
        <f t="shared" ref="I2:I31" si="0">H2*19%</f>
        <v>1418156.7080599999</v>
      </c>
      <c r="J2" s="5">
        <f t="shared" ref="J2:J31" si="1">+I2+H2</f>
        <v>8882139.3820599988</v>
      </c>
    </row>
    <row r="3" spans="1:14" x14ac:dyDescent="0.25">
      <c r="A3">
        <v>20</v>
      </c>
      <c r="B3">
        <v>1</v>
      </c>
      <c r="C3" s="10" t="s">
        <v>3</v>
      </c>
      <c r="D3" s="2">
        <v>6340</v>
      </c>
      <c r="E3" s="3">
        <v>7964.3</v>
      </c>
      <c r="G3">
        <v>937.18</v>
      </c>
      <c r="H3" s="6">
        <f t="shared" ref="H3:H32" si="2">E3*G3</f>
        <v>7463982.6739999996</v>
      </c>
      <c r="I3" s="5">
        <f t="shared" si="0"/>
        <v>1418156.7080599999</v>
      </c>
      <c r="J3" s="5">
        <f t="shared" si="1"/>
        <v>8882139.3820599988</v>
      </c>
    </row>
    <row r="4" spans="1:14" x14ac:dyDescent="0.25">
      <c r="A4">
        <v>40</v>
      </c>
      <c r="B4">
        <v>1</v>
      </c>
      <c r="C4" s="10" t="s">
        <v>4</v>
      </c>
      <c r="D4">
        <v>6330</v>
      </c>
      <c r="E4" s="3">
        <v>22754.799999999999</v>
      </c>
      <c r="G4">
        <v>937.18</v>
      </c>
      <c r="H4" s="6">
        <f t="shared" si="2"/>
        <v>21325343.463999998</v>
      </c>
      <c r="I4" s="5">
        <f t="shared" si="0"/>
        <v>4051815.2581599997</v>
      </c>
      <c r="J4" s="5">
        <f t="shared" si="1"/>
        <v>25377158.722159997</v>
      </c>
    </row>
    <row r="5" spans="1:14" x14ac:dyDescent="0.25">
      <c r="A5">
        <v>50</v>
      </c>
      <c r="B5">
        <v>1</v>
      </c>
      <c r="C5" s="10" t="s">
        <v>4</v>
      </c>
      <c r="D5">
        <v>6340</v>
      </c>
      <c r="E5" s="3">
        <v>22754.799999999999</v>
      </c>
      <c r="G5">
        <v>937.18</v>
      </c>
      <c r="H5" s="6">
        <f t="shared" si="2"/>
        <v>21325343.463999998</v>
      </c>
      <c r="I5" s="5">
        <f t="shared" si="0"/>
        <v>4051815.2581599997</v>
      </c>
      <c r="J5" s="5">
        <f t="shared" si="1"/>
        <v>25377158.722159997</v>
      </c>
    </row>
    <row r="6" spans="1:14" x14ac:dyDescent="0.25">
      <c r="A6">
        <v>70</v>
      </c>
      <c r="B6">
        <v>1</v>
      </c>
      <c r="C6" s="10" t="s">
        <v>5</v>
      </c>
      <c r="D6">
        <v>6330</v>
      </c>
      <c r="E6" s="3">
        <v>3884.4</v>
      </c>
      <c r="G6">
        <v>937.18</v>
      </c>
      <c r="H6" s="6">
        <f t="shared" si="2"/>
        <v>3640381.9920000001</v>
      </c>
      <c r="I6" s="5">
        <f t="shared" si="0"/>
        <v>691672.57848000003</v>
      </c>
      <c r="J6" s="5">
        <f t="shared" si="1"/>
        <v>4332054.5704800002</v>
      </c>
    </row>
    <row r="7" spans="1:14" x14ac:dyDescent="0.25">
      <c r="A7">
        <v>80</v>
      </c>
      <c r="B7">
        <v>1</v>
      </c>
      <c r="C7" s="10" t="s">
        <v>5</v>
      </c>
      <c r="D7">
        <v>6330</v>
      </c>
      <c r="E7" s="3">
        <v>3884.4</v>
      </c>
      <c r="G7">
        <v>937.18</v>
      </c>
      <c r="H7" s="6">
        <f t="shared" si="2"/>
        <v>3640381.9920000001</v>
      </c>
      <c r="I7" s="5">
        <f t="shared" si="0"/>
        <v>691672.57848000003</v>
      </c>
      <c r="J7" s="5">
        <f t="shared" si="1"/>
        <v>4332054.5704800002</v>
      </c>
    </row>
    <row r="8" spans="1:14" x14ac:dyDescent="0.25">
      <c r="A8">
        <v>90</v>
      </c>
      <c r="B8">
        <v>1</v>
      </c>
      <c r="C8" s="10" t="s">
        <v>5</v>
      </c>
      <c r="D8">
        <v>6340</v>
      </c>
      <c r="E8" s="3">
        <v>3884.4</v>
      </c>
      <c r="G8">
        <v>937.18</v>
      </c>
      <c r="H8" s="6">
        <f t="shared" si="2"/>
        <v>3640381.9920000001</v>
      </c>
      <c r="I8" s="5">
        <f t="shared" si="0"/>
        <v>691672.57848000003</v>
      </c>
      <c r="J8" s="5">
        <f t="shared" si="1"/>
        <v>4332054.5704800002</v>
      </c>
    </row>
    <row r="9" spans="1:14" x14ac:dyDescent="0.25">
      <c r="A9">
        <v>100</v>
      </c>
      <c r="B9">
        <v>1</v>
      </c>
      <c r="C9" s="10" t="s">
        <v>5</v>
      </c>
      <c r="D9" s="2">
        <v>6340</v>
      </c>
      <c r="E9" s="3">
        <v>3884.4</v>
      </c>
      <c r="G9">
        <v>937.18</v>
      </c>
      <c r="H9" s="6">
        <f t="shared" si="2"/>
        <v>3640381.9920000001</v>
      </c>
      <c r="I9" s="5">
        <f t="shared" si="0"/>
        <v>691672.57848000003</v>
      </c>
      <c r="J9" s="5">
        <f t="shared" si="1"/>
        <v>4332054.5704800002</v>
      </c>
      <c r="K9" s="5">
        <f>SUM(H2:H9)</f>
        <v>72140180.243999988</v>
      </c>
      <c r="L9" s="5">
        <f t="shared" ref="L9:M9" si="3">SUM(I2:I9)</f>
        <v>13706634.246359996</v>
      </c>
      <c r="M9" s="5">
        <f t="shared" si="3"/>
        <v>85846814.490360007</v>
      </c>
      <c r="N9" s="13">
        <f>SUM(E2:E9)</f>
        <v>76975.799999999988</v>
      </c>
    </row>
    <row r="10" spans="1:14" x14ac:dyDescent="0.25">
      <c r="A10">
        <v>250</v>
      </c>
      <c r="B10">
        <v>1</v>
      </c>
      <c r="C10" s="11" t="s">
        <v>5</v>
      </c>
      <c r="D10">
        <v>7313</v>
      </c>
      <c r="E10" s="3">
        <v>949.7</v>
      </c>
      <c r="G10">
        <v>937.18</v>
      </c>
      <c r="H10" s="6">
        <f t="shared" si="2"/>
        <v>890039.84600000002</v>
      </c>
      <c r="I10" s="5">
        <f t="shared" si="0"/>
        <v>169107.57074</v>
      </c>
      <c r="J10" s="5">
        <f t="shared" si="1"/>
        <v>1059147.41674</v>
      </c>
    </row>
    <row r="11" spans="1:14" x14ac:dyDescent="0.25">
      <c r="A11">
        <v>260</v>
      </c>
      <c r="B11">
        <v>1</v>
      </c>
      <c r="C11" s="11" t="s">
        <v>5</v>
      </c>
      <c r="D11" s="2">
        <v>7313</v>
      </c>
      <c r="E11" s="3">
        <v>949.7</v>
      </c>
      <c r="G11">
        <v>937.18</v>
      </c>
      <c r="H11" s="6">
        <f t="shared" si="2"/>
        <v>890039.84600000002</v>
      </c>
      <c r="I11" s="5">
        <f t="shared" si="0"/>
        <v>169107.57074</v>
      </c>
      <c r="J11" s="5">
        <f t="shared" si="1"/>
        <v>1059147.41674</v>
      </c>
    </row>
    <row r="12" spans="1:14" x14ac:dyDescent="0.25">
      <c r="A12">
        <v>270</v>
      </c>
      <c r="B12">
        <v>1</v>
      </c>
      <c r="C12" s="11" t="s">
        <v>5</v>
      </c>
      <c r="D12">
        <v>7313</v>
      </c>
      <c r="E12" s="3">
        <v>949.7</v>
      </c>
      <c r="G12">
        <v>937.18</v>
      </c>
      <c r="H12" s="6">
        <f t="shared" si="2"/>
        <v>890039.84600000002</v>
      </c>
      <c r="I12" s="5">
        <f t="shared" si="0"/>
        <v>169107.57074</v>
      </c>
      <c r="J12" s="5">
        <f t="shared" si="1"/>
        <v>1059147.41674</v>
      </c>
    </row>
    <row r="13" spans="1:14" x14ac:dyDescent="0.25">
      <c r="A13">
        <v>280</v>
      </c>
      <c r="B13">
        <v>1</v>
      </c>
      <c r="C13" s="11" t="s">
        <v>5</v>
      </c>
      <c r="D13" s="2">
        <v>7313</v>
      </c>
      <c r="E13" s="3">
        <v>949.7</v>
      </c>
      <c r="G13">
        <v>937.18</v>
      </c>
      <c r="H13" s="6">
        <f t="shared" si="2"/>
        <v>890039.84600000002</v>
      </c>
      <c r="I13" s="5">
        <f t="shared" si="0"/>
        <v>169107.57074</v>
      </c>
      <c r="J13" s="5">
        <f t="shared" si="1"/>
        <v>1059147.41674</v>
      </c>
    </row>
    <row r="14" spans="1:14" x14ac:dyDescent="0.25">
      <c r="A14">
        <v>290</v>
      </c>
      <c r="B14">
        <v>1</v>
      </c>
      <c r="C14" s="11" t="s">
        <v>5</v>
      </c>
      <c r="D14" s="2">
        <v>7314</v>
      </c>
      <c r="E14" s="3">
        <v>949.7</v>
      </c>
      <c r="G14">
        <v>937.18</v>
      </c>
      <c r="H14" s="6">
        <f t="shared" si="2"/>
        <v>890039.84600000002</v>
      </c>
      <c r="I14" s="5">
        <f t="shared" si="0"/>
        <v>169107.57074</v>
      </c>
      <c r="J14" s="5">
        <f t="shared" si="1"/>
        <v>1059147.41674</v>
      </c>
    </row>
    <row r="15" spans="1:14" x14ac:dyDescent="0.25">
      <c r="A15">
        <v>300</v>
      </c>
      <c r="B15">
        <v>1</v>
      </c>
      <c r="C15" s="11" t="s">
        <v>5</v>
      </c>
      <c r="D15" s="2">
        <v>7314</v>
      </c>
      <c r="E15" s="3">
        <v>949.7</v>
      </c>
      <c r="G15">
        <v>937.18</v>
      </c>
      <c r="H15" s="6">
        <f t="shared" si="2"/>
        <v>890039.84600000002</v>
      </c>
      <c r="I15" s="5">
        <f t="shared" si="0"/>
        <v>169107.57074</v>
      </c>
      <c r="J15" s="5">
        <f t="shared" si="1"/>
        <v>1059147.41674</v>
      </c>
    </row>
    <row r="16" spans="1:14" x14ac:dyDescent="0.25">
      <c r="A16">
        <v>310</v>
      </c>
      <c r="B16">
        <v>1</v>
      </c>
      <c r="C16" s="11" t="s">
        <v>5</v>
      </c>
      <c r="D16" s="2">
        <v>7314</v>
      </c>
      <c r="E16" s="3">
        <v>949.7</v>
      </c>
      <c r="G16">
        <v>937.18</v>
      </c>
      <c r="H16" s="6">
        <f t="shared" si="2"/>
        <v>890039.84600000002</v>
      </c>
      <c r="I16" s="5">
        <f t="shared" si="0"/>
        <v>169107.57074</v>
      </c>
      <c r="J16" s="5">
        <f t="shared" si="1"/>
        <v>1059147.41674</v>
      </c>
    </row>
    <row r="17" spans="1:14" x14ac:dyDescent="0.25">
      <c r="A17">
        <v>320</v>
      </c>
      <c r="B17">
        <v>1</v>
      </c>
      <c r="C17" s="11" t="s">
        <v>5</v>
      </c>
      <c r="D17" s="2">
        <v>7314</v>
      </c>
      <c r="E17" s="3">
        <v>949.7</v>
      </c>
      <c r="G17">
        <v>937.18</v>
      </c>
      <c r="H17" s="6">
        <f t="shared" si="2"/>
        <v>890039.84600000002</v>
      </c>
      <c r="I17" s="5">
        <f t="shared" si="0"/>
        <v>169107.57074</v>
      </c>
      <c r="J17" s="5">
        <f t="shared" si="1"/>
        <v>1059147.41674</v>
      </c>
      <c r="K17" s="5">
        <f>SUM(H10:H17)</f>
        <v>7120318.7680000002</v>
      </c>
      <c r="L17" s="5">
        <f t="shared" ref="L17" si="4">SUM(I10:I17)</f>
        <v>1352860.56592</v>
      </c>
      <c r="M17" s="5">
        <f t="shared" ref="M17" si="5">SUM(J10:J17)</f>
        <v>8473179.3339200001</v>
      </c>
      <c r="N17" s="13">
        <f>SUM(E10:E17)</f>
        <v>7597.5999999999995</v>
      </c>
    </row>
    <row r="18" spans="1:14" x14ac:dyDescent="0.25">
      <c r="A18">
        <v>660</v>
      </c>
      <c r="B18">
        <v>1</v>
      </c>
      <c r="C18" s="12" t="s">
        <v>6</v>
      </c>
      <c r="D18" s="2">
        <v>7313</v>
      </c>
      <c r="E18" s="3">
        <v>489.1</v>
      </c>
      <c r="G18">
        <v>937.18</v>
      </c>
      <c r="H18" s="6">
        <f t="shared" si="2"/>
        <v>458374.73800000001</v>
      </c>
      <c r="I18" s="5">
        <f t="shared" si="0"/>
        <v>87091.200219999999</v>
      </c>
      <c r="J18" s="5">
        <f t="shared" si="1"/>
        <v>545465.93822000001</v>
      </c>
    </row>
    <row r="19" spans="1:14" x14ac:dyDescent="0.25">
      <c r="A19">
        <v>670</v>
      </c>
      <c r="B19">
        <v>1</v>
      </c>
      <c r="C19" s="12" t="s">
        <v>6</v>
      </c>
      <c r="D19" s="2">
        <v>7313</v>
      </c>
      <c r="E19" s="3">
        <v>489.1</v>
      </c>
      <c r="G19">
        <v>937.18</v>
      </c>
      <c r="H19" s="6">
        <f t="shared" si="2"/>
        <v>458374.73800000001</v>
      </c>
      <c r="I19" s="5">
        <f t="shared" si="0"/>
        <v>87091.200219999999</v>
      </c>
      <c r="J19" s="5">
        <f t="shared" si="1"/>
        <v>545465.93822000001</v>
      </c>
    </row>
    <row r="20" spans="1:14" x14ac:dyDescent="0.25">
      <c r="A20">
        <v>680</v>
      </c>
      <c r="B20">
        <v>1</v>
      </c>
      <c r="C20" s="12" t="s">
        <v>7</v>
      </c>
      <c r="D20" s="2">
        <v>7313</v>
      </c>
      <c r="E20" s="3">
        <v>16952.400000000001</v>
      </c>
      <c r="G20">
        <v>937.18</v>
      </c>
      <c r="H20" s="6">
        <f t="shared" si="2"/>
        <v>15887450.232000001</v>
      </c>
      <c r="I20" s="5">
        <f t="shared" si="0"/>
        <v>3018615.5440800004</v>
      </c>
      <c r="J20" s="5">
        <f t="shared" si="1"/>
        <v>18906065.776080001</v>
      </c>
    </row>
    <row r="21" spans="1:14" x14ac:dyDescent="0.25">
      <c r="A21">
        <v>690</v>
      </c>
      <c r="B21">
        <v>1</v>
      </c>
      <c r="C21" s="12" t="s">
        <v>8</v>
      </c>
      <c r="D21" s="2">
        <v>7313</v>
      </c>
      <c r="E21" s="3">
        <v>16952.400000000001</v>
      </c>
      <c r="G21">
        <v>937.18</v>
      </c>
      <c r="H21" s="6">
        <f t="shared" si="2"/>
        <v>15887450.232000001</v>
      </c>
      <c r="I21" s="5">
        <f t="shared" si="0"/>
        <v>3018615.5440800004</v>
      </c>
      <c r="J21" s="5">
        <f t="shared" si="1"/>
        <v>18906065.776080001</v>
      </c>
    </row>
    <row r="22" spans="1:14" x14ac:dyDescent="0.25">
      <c r="A22">
        <v>700</v>
      </c>
      <c r="B22">
        <v>1</v>
      </c>
      <c r="C22" s="12" t="s">
        <v>3</v>
      </c>
      <c r="D22" s="2">
        <v>7313</v>
      </c>
      <c r="E22" s="3">
        <v>15831.7</v>
      </c>
      <c r="G22">
        <v>937.18</v>
      </c>
      <c r="H22" s="6">
        <f t="shared" si="2"/>
        <v>14837152.606000001</v>
      </c>
      <c r="I22" s="5">
        <f t="shared" si="0"/>
        <v>2819058.9951400002</v>
      </c>
      <c r="J22" s="5">
        <f t="shared" si="1"/>
        <v>17656211.60114</v>
      </c>
    </row>
    <row r="23" spans="1:14" x14ac:dyDescent="0.25">
      <c r="A23">
        <v>710</v>
      </c>
      <c r="B23">
        <v>1</v>
      </c>
      <c r="C23" s="12" t="s">
        <v>9</v>
      </c>
      <c r="D23" s="2">
        <v>7313</v>
      </c>
      <c r="E23" s="3">
        <v>15831.7</v>
      </c>
      <c r="G23">
        <v>937.18</v>
      </c>
      <c r="H23" s="6">
        <f t="shared" si="2"/>
        <v>14837152.606000001</v>
      </c>
      <c r="I23" s="5">
        <f t="shared" si="0"/>
        <v>2819058.9951400002</v>
      </c>
      <c r="J23" s="5">
        <f t="shared" si="1"/>
        <v>17656211.60114</v>
      </c>
    </row>
    <row r="24" spans="1:14" x14ac:dyDescent="0.25">
      <c r="A24">
        <v>720</v>
      </c>
      <c r="B24">
        <v>1</v>
      </c>
      <c r="C24" s="12" t="s">
        <v>10</v>
      </c>
      <c r="D24" s="2">
        <v>7313</v>
      </c>
      <c r="E24" s="3">
        <v>39647.300000000003</v>
      </c>
      <c r="G24">
        <v>937.18</v>
      </c>
      <c r="H24" s="6">
        <f t="shared" si="2"/>
        <v>37156656.614</v>
      </c>
      <c r="I24" s="5">
        <f t="shared" si="0"/>
        <v>7059764.7566600004</v>
      </c>
      <c r="J24" s="5">
        <f t="shared" si="1"/>
        <v>44216421.37066</v>
      </c>
      <c r="K24" s="5">
        <f>SUM(H18:H24)</f>
        <v>99522611.766000003</v>
      </c>
      <c r="L24" s="5">
        <f>SUM(I18:I24)</f>
        <v>18909296.235540003</v>
      </c>
      <c r="M24" s="5">
        <f>SUM(J18:J24)</f>
        <v>118431908.00154001</v>
      </c>
      <c r="N24" s="13">
        <f>SUM(E18:E24)</f>
        <v>106193.7</v>
      </c>
    </row>
    <row r="25" spans="1:14" x14ac:dyDescent="0.25">
      <c r="A25">
        <v>730</v>
      </c>
      <c r="B25">
        <v>1</v>
      </c>
      <c r="C25" t="s">
        <v>6</v>
      </c>
      <c r="D25" s="2">
        <v>7314</v>
      </c>
      <c r="E25" s="3">
        <v>489.1</v>
      </c>
      <c r="G25">
        <v>937.18</v>
      </c>
      <c r="H25" s="6">
        <f t="shared" si="2"/>
        <v>458374.73800000001</v>
      </c>
      <c r="I25" s="5">
        <f t="shared" si="0"/>
        <v>87091.200219999999</v>
      </c>
      <c r="J25" s="5">
        <f t="shared" si="1"/>
        <v>545465.93822000001</v>
      </c>
    </row>
    <row r="26" spans="1:14" x14ac:dyDescent="0.25">
      <c r="A26">
        <v>740</v>
      </c>
      <c r="B26">
        <v>1</v>
      </c>
      <c r="C26" t="s">
        <v>6</v>
      </c>
      <c r="D26" s="2">
        <v>7314</v>
      </c>
      <c r="E26" s="3">
        <v>489.1</v>
      </c>
      <c r="G26">
        <v>937.18</v>
      </c>
      <c r="H26" s="6">
        <f t="shared" si="2"/>
        <v>458374.73800000001</v>
      </c>
      <c r="I26" s="5">
        <f t="shared" si="0"/>
        <v>87091.200219999999</v>
      </c>
      <c r="J26" s="5">
        <f t="shared" si="1"/>
        <v>545465.93822000001</v>
      </c>
    </row>
    <row r="27" spans="1:14" x14ac:dyDescent="0.25">
      <c r="A27">
        <v>750</v>
      </c>
      <c r="B27">
        <v>1</v>
      </c>
      <c r="C27" t="s">
        <v>7</v>
      </c>
      <c r="D27" s="2">
        <v>7314</v>
      </c>
      <c r="E27" s="3">
        <v>16952.400000000001</v>
      </c>
      <c r="G27">
        <v>937.18</v>
      </c>
      <c r="H27" s="6">
        <f t="shared" si="2"/>
        <v>15887450.232000001</v>
      </c>
      <c r="I27" s="5">
        <f t="shared" si="0"/>
        <v>3018615.5440800004</v>
      </c>
      <c r="J27" s="5">
        <f t="shared" si="1"/>
        <v>18906065.776080001</v>
      </c>
    </row>
    <row r="28" spans="1:14" x14ac:dyDescent="0.25">
      <c r="A28">
        <v>760</v>
      </c>
      <c r="B28">
        <v>1</v>
      </c>
      <c r="C28" t="s">
        <v>8</v>
      </c>
      <c r="D28" s="2">
        <v>7314</v>
      </c>
      <c r="E28" s="3">
        <v>16952.400000000001</v>
      </c>
      <c r="G28">
        <v>937.18</v>
      </c>
      <c r="H28" s="6">
        <f t="shared" si="2"/>
        <v>15887450.232000001</v>
      </c>
      <c r="I28" s="5">
        <f t="shared" si="0"/>
        <v>3018615.5440800004</v>
      </c>
      <c r="J28" s="5">
        <f t="shared" si="1"/>
        <v>18906065.776080001</v>
      </c>
    </row>
    <row r="29" spans="1:14" x14ac:dyDescent="0.25">
      <c r="A29">
        <v>770</v>
      </c>
      <c r="B29">
        <v>1</v>
      </c>
      <c r="C29" t="s">
        <v>3</v>
      </c>
      <c r="D29" s="2">
        <v>7314</v>
      </c>
      <c r="E29" s="3">
        <v>15831.7</v>
      </c>
      <c r="G29">
        <v>937.18</v>
      </c>
      <c r="H29" s="6">
        <f t="shared" si="2"/>
        <v>14837152.606000001</v>
      </c>
      <c r="I29" s="5">
        <f t="shared" si="0"/>
        <v>2819058.9951400002</v>
      </c>
      <c r="J29" s="5">
        <f t="shared" si="1"/>
        <v>17656211.60114</v>
      </c>
    </row>
    <row r="30" spans="1:14" x14ac:dyDescent="0.25">
      <c r="A30">
        <v>780</v>
      </c>
      <c r="B30">
        <v>1</v>
      </c>
      <c r="C30" t="s">
        <v>9</v>
      </c>
      <c r="D30" s="2">
        <v>7314</v>
      </c>
      <c r="E30" s="3">
        <v>15831.7</v>
      </c>
      <c r="G30">
        <v>937.18</v>
      </c>
      <c r="H30" s="6">
        <f t="shared" si="2"/>
        <v>14837152.606000001</v>
      </c>
      <c r="I30" s="5">
        <f t="shared" si="0"/>
        <v>2819058.9951400002</v>
      </c>
      <c r="J30" s="5">
        <f t="shared" si="1"/>
        <v>17656211.60114</v>
      </c>
    </row>
    <row r="31" spans="1:14" x14ac:dyDescent="0.25">
      <c r="A31">
        <v>790</v>
      </c>
      <c r="B31">
        <v>1</v>
      </c>
      <c r="C31" t="s">
        <v>10</v>
      </c>
      <c r="D31" s="2">
        <v>7314</v>
      </c>
      <c r="E31" s="4">
        <v>39647.300000000003</v>
      </c>
      <c r="G31">
        <v>937.18</v>
      </c>
      <c r="H31" s="6">
        <f t="shared" si="2"/>
        <v>37156656.614</v>
      </c>
      <c r="I31" s="5">
        <f t="shared" si="0"/>
        <v>7059764.7566600004</v>
      </c>
      <c r="J31" s="5">
        <f t="shared" si="1"/>
        <v>44216421.37066</v>
      </c>
      <c r="K31" s="5">
        <f>SUM(H25:H31)</f>
        <v>99522611.766000003</v>
      </c>
      <c r="L31" s="5">
        <f t="shared" ref="L31:N31" si="6">SUM(I25:I31)</f>
        <v>18909296.235540003</v>
      </c>
      <c r="M31" s="5">
        <f t="shared" si="6"/>
        <v>118431908.00154001</v>
      </c>
      <c r="N31" s="13">
        <f>SUM(E25:E31)</f>
        <v>106193.7</v>
      </c>
    </row>
    <row r="32" spans="1:14" x14ac:dyDescent="0.25">
      <c r="E32" s="3">
        <f>SUM(E2:E31)</f>
        <v>296960.8</v>
      </c>
      <c r="G32">
        <v>937.18</v>
      </c>
      <c r="H32" s="9">
        <f>SUM(H2:H31)</f>
        <v>278305722.54400003</v>
      </c>
      <c r="I32" s="5">
        <f>H32*19%</f>
        <v>52878087.283360004</v>
      </c>
      <c r="J32" s="5">
        <f>+I32+H32</f>
        <v>331183809.82736003</v>
      </c>
    </row>
    <row r="33" spans="3:8" x14ac:dyDescent="0.25">
      <c r="H33" s="9">
        <f>E32*G32</f>
        <v>278305722.54399997</v>
      </c>
    </row>
    <row r="34" spans="3:8" x14ac:dyDescent="0.25">
      <c r="C34" s="7" t="s">
        <v>15</v>
      </c>
    </row>
    <row r="35" spans="3:8" x14ac:dyDescent="0.25">
      <c r="C35" s="7" t="s">
        <v>16</v>
      </c>
    </row>
    <row r="36" spans="3:8" x14ac:dyDescent="0.25">
      <c r="C36" s="7" t="s">
        <v>17</v>
      </c>
    </row>
    <row r="37" spans="3:8" x14ac:dyDescent="0.25">
      <c r="C37" t="s">
        <v>18</v>
      </c>
    </row>
    <row r="39" spans="3:8" x14ac:dyDescent="0.25">
      <c r="D39">
        <v>890040</v>
      </c>
    </row>
  </sheetData>
  <autoFilter ref="A1:E32" xr:uid="{76762917-DF97-4531-B2B8-27ED71EFBE9D}"/>
  <phoneticPr fontId="1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276EFD-C23C-40B1-B7DE-0810D9B83E82}"/>
</file>

<file path=customXml/itemProps2.xml><?xml version="1.0" encoding="utf-8"?>
<ds:datastoreItem xmlns:ds="http://schemas.openxmlformats.org/officeDocument/2006/customXml" ds:itemID="{2581F215-5692-4A92-999A-AE09EF3BE424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Grillo</dc:creator>
  <cp:lastModifiedBy>Carolina Cabrera</cp:lastModifiedBy>
  <dcterms:created xsi:type="dcterms:W3CDTF">2024-08-05T18:58:16Z</dcterms:created>
  <dcterms:modified xsi:type="dcterms:W3CDTF">2024-08-09T16:06:28Z</dcterms:modified>
</cp:coreProperties>
</file>