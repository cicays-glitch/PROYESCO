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jimena\"/>
    </mc:Choice>
  </mc:AlternateContent>
  <xr:revisionPtr revIDLastSave="0" documentId="13_ncr:1_{8022BFF2-EC4E-4A6E-AC93-A7FF166D890A}" xr6:coauthVersionLast="47" xr6:coauthVersionMax="47" xr10:uidLastSave="{00000000-0000-0000-0000-000000000000}"/>
  <bookViews>
    <workbookView xWindow="-11565" yWindow="855" windowWidth="11565" windowHeight="10080" xr2:uid="{00000000-000D-0000-FFFF-FFFF00000000}"/>
  </bookViews>
  <sheets>
    <sheet name="Divisas" sheetId="8" r:id="rId1"/>
    <sheet name="Mensuales" sheetId="9" r:id="rId2"/>
  </sheets>
  <definedNames>
    <definedName name="_xlnm._FilterDatabase" localSheetId="0" hidden="1">Divisas!$A$2:$F$197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9" l="1"/>
  <c r="F221" i="8"/>
  <c r="F16" i="9"/>
  <c r="C15" i="9"/>
  <c r="D217" i="8"/>
  <c r="D221" i="8" s="1"/>
  <c r="E221" i="8" s="1"/>
  <c r="D228" i="8" l="1"/>
  <c r="E228" i="8" s="1"/>
  <c r="D227" i="8"/>
  <c r="E227" i="8" s="1"/>
  <c r="D220" i="8"/>
  <c r="D226" i="8"/>
  <c r="E226" i="8" s="1"/>
  <c r="D225" i="8"/>
  <c r="E225" i="8" s="1"/>
  <c r="D224" i="8"/>
  <c r="E224" i="8" s="1"/>
  <c r="D223" i="8"/>
  <c r="E223" i="8" s="1"/>
  <c r="D219" i="8"/>
  <c r="D222" i="8"/>
  <c r="E222" i="8" s="1"/>
  <c r="D229" i="8"/>
  <c r="G16" i="9" l="1"/>
  <c r="D16" i="9"/>
  <c r="E214" i="8"/>
  <c r="E218" i="8"/>
  <c r="D214" i="8"/>
  <c r="D215" i="8"/>
  <c r="E215" i="8" s="1"/>
  <c r="D216" i="8"/>
  <c r="E216" i="8" s="1"/>
  <c r="D218" i="8"/>
  <c r="E219" i="8"/>
  <c r="D209" i="8" l="1"/>
  <c r="E209" i="8" s="1"/>
  <c r="D210" i="8"/>
  <c r="E210" i="8" s="1"/>
  <c r="D211" i="8"/>
  <c r="E211" i="8" s="1"/>
  <c r="D212" i="8"/>
  <c r="E212" i="8" s="1"/>
  <c r="D213" i="8"/>
  <c r="E213" i="8" s="1"/>
  <c r="E220" i="8"/>
  <c r="F220" i="8" s="1"/>
  <c r="E229" i="8"/>
  <c r="D208" i="8"/>
  <c r="D207" i="8"/>
  <c r="E204" i="8" l="1"/>
  <c r="E206" i="8"/>
  <c r="D197" i="8" l="1"/>
  <c r="C192" i="8"/>
  <c r="D201" i="8" l="1"/>
  <c r="E201" i="8" s="1"/>
  <c r="D203" i="8"/>
  <c r="E203" i="8" s="1"/>
  <c r="D205" i="8"/>
  <c r="E205" i="8" s="1"/>
  <c r="D200" i="8"/>
  <c r="E200" i="8" s="1"/>
  <c r="D199" i="8"/>
  <c r="E199" i="8" s="1"/>
  <c r="D202" i="8"/>
  <c r="E202" i="8" s="1"/>
  <c r="E208" i="8"/>
  <c r="E207" i="8"/>
  <c r="D190" i="8"/>
  <c r="D192" i="8" l="1"/>
  <c r="D198" i="8"/>
  <c r="E198" i="8" s="1"/>
  <c r="D193" i="8"/>
  <c r="D196" i="8"/>
  <c r="D195" i="8"/>
  <c r="D194" i="8"/>
  <c r="C183" i="8" l="1"/>
  <c r="D181" i="8"/>
  <c r="D184" i="8" s="1"/>
  <c r="D187" i="8" l="1"/>
  <c r="D186" i="8"/>
  <c r="D189" i="8"/>
  <c r="D185" i="8"/>
  <c r="D191" i="8"/>
  <c r="D183" i="8"/>
  <c r="D188" i="8"/>
  <c r="D174" i="8"/>
  <c r="D180" i="8" s="1"/>
  <c r="C176" i="8"/>
  <c r="D171" i="8"/>
  <c r="D173" i="8" s="1"/>
  <c r="C173" i="8"/>
  <c r="D178" i="8" l="1"/>
  <c r="D179" i="8"/>
  <c r="D175" i="8"/>
  <c r="E175" i="8" s="1"/>
  <c r="D176" i="8"/>
  <c r="E176" i="8" s="1"/>
  <c r="D177" i="8"/>
  <c r="E177" i="8" s="1"/>
  <c r="D182" i="8"/>
  <c r="E186" i="8"/>
  <c r="E182" i="8"/>
  <c r="D166" i="8"/>
  <c r="D172" i="8" s="1"/>
  <c r="E172" i="8" s="1"/>
  <c r="E173" i="8"/>
  <c r="E178" i="8"/>
  <c r="E179" i="8"/>
  <c r="E180" i="8"/>
  <c r="E183" i="8"/>
  <c r="E184" i="8"/>
  <c r="E185" i="8"/>
  <c r="E187" i="8"/>
  <c r="E188" i="8"/>
  <c r="E189" i="8"/>
  <c r="E191" i="8"/>
  <c r="E192" i="8"/>
  <c r="E193" i="8"/>
  <c r="E194" i="8"/>
  <c r="E195" i="8"/>
  <c r="E196" i="8"/>
  <c r="C169" i="8"/>
  <c r="D161" i="8" l="1"/>
  <c r="C163" i="8"/>
  <c r="C154" i="8"/>
  <c r="D152" i="8"/>
  <c r="D155" i="8" s="1"/>
  <c r="C151" i="8"/>
  <c r="D149" i="8"/>
  <c r="D167" i="8" l="1"/>
  <c r="E167" i="8" s="1"/>
  <c r="D168" i="8"/>
  <c r="E168" i="8" s="1"/>
  <c r="D165" i="8"/>
  <c r="E165" i="8" s="1"/>
  <c r="D162" i="8"/>
  <c r="E162" i="8" s="1"/>
  <c r="D160" i="8"/>
  <c r="E160" i="8" s="1"/>
  <c r="D164" i="8"/>
  <c r="E164" i="8" s="1"/>
  <c r="D159" i="8"/>
  <c r="E159" i="8" s="1"/>
  <c r="D163" i="8"/>
  <c r="E163" i="8" s="1"/>
  <c r="D158" i="8"/>
  <c r="E158" i="8" s="1"/>
  <c r="D157" i="8"/>
  <c r="D156" i="8"/>
  <c r="E156" i="8" s="1"/>
  <c r="D154" i="8"/>
  <c r="E154" i="8" s="1"/>
  <c r="D151" i="8"/>
  <c r="E151" i="8" s="1"/>
  <c r="E155" i="8"/>
  <c r="E157" i="8"/>
  <c r="D153" i="8"/>
  <c r="E153" i="8" s="1"/>
  <c r="D141" i="8"/>
  <c r="C143" i="8"/>
  <c r="C137" i="8"/>
  <c r="C135" i="8"/>
  <c r="D133" i="8"/>
  <c r="D136" i="8" s="1"/>
  <c r="E136" i="8" s="1"/>
  <c r="C132" i="8"/>
  <c r="C128" i="8"/>
  <c r="D126" i="8"/>
  <c r="D131" i="8" s="1"/>
  <c r="E131" i="8" s="1"/>
  <c r="C125" i="8"/>
  <c r="C122" i="8"/>
  <c r="D120" i="8"/>
  <c r="D124" i="8" s="1"/>
  <c r="E124" i="8" s="1"/>
  <c r="C119" i="8"/>
  <c r="D117" i="8"/>
  <c r="D119" i="8" s="1"/>
  <c r="C112" i="8"/>
  <c r="D110" i="8"/>
  <c r="D116" i="8" s="1"/>
  <c r="E116" i="8" s="1"/>
  <c r="C109" i="8"/>
  <c r="D170" i="8" l="1"/>
  <c r="E170" i="8" s="1"/>
  <c r="D169" i="8"/>
  <c r="E169" i="8" s="1"/>
  <c r="D148" i="8"/>
  <c r="E148" i="8" s="1"/>
  <c r="D147" i="8"/>
  <c r="E147" i="8" s="1"/>
  <c r="D150" i="8"/>
  <c r="E150" i="8" s="1"/>
  <c r="D145" i="8"/>
  <c r="E145" i="8" s="1"/>
  <c r="D144" i="8"/>
  <c r="E144" i="8" s="1"/>
  <c r="D143" i="8"/>
  <c r="E143" i="8" s="1"/>
  <c r="D146" i="8"/>
  <c r="E146" i="8" s="1"/>
  <c r="D137" i="8"/>
  <c r="E137" i="8" s="1"/>
  <c r="D139" i="8"/>
  <c r="E139" i="8" s="1"/>
  <c r="D135" i="8"/>
  <c r="E135" i="8" s="1"/>
  <c r="D142" i="8"/>
  <c r="E142" i="8" s="1"/>
  <c r="D138" i="8"/>
  <c r="E138" i="8" s="1"/>
  <c r="D140" i="8"/>
  <c r="E140" i="8" s="1"/>
  <c r="D128" i="8"/>
  <c r="E128" i="8" s="1"/>
  <c r="D129" i="8"/>
  <c r="E129" i="8" s="1"/>
  <c r="D115" i="8"/>
  <c r="E115" i="8" s="1"/>
  <c r="D112" i="8"/>
  <c r="E112" i="8" s="1"/>
  <c r="D114" i="8"/>
  <c r="E114" i="8" s="1"/>
  <c r="D118" i="8"/>
  <c r="E118" i="8" s="1"/>
  <c r="D113" i="8"/>
  <c r="E113" i="8" s="1"/>
  <c r="D122" i="8"/>
  <c r="D104" i="8"/>
  <c r="C106" i="8"/>
  <c r="C102" i="8" l="1"/>
  <c r="D100" i="8"/>
  <c r="D103" i="8" s="1"/>
  <c r="E103" i="8" s="1"/>
  <c r="K14" i="8"/>
  <c r="J17" i="8"/>
  <c r="K22" i="8" l="1"/>
  <c r="L22" i="8" s="1"/>
  <c r="K26" i="8"/>
  <c r="L26" i="8" s="1"/>
  <c r="K30" i="8"/>
  <c r="L30" i="8" s="1"/>
  <c r="K21" i="8"/>
  <c r="L21" i="8" s="1"/>
  <c r="K23" i="8"/>
  <c r="L23" i="8" s="1"/>
  <c r="K25" i="8"/>
  <c r="L25" i="8" s="1"/>
  <c r="K27" i="8"/>
  <c r="L27" i="8" s="1"/>
  <c r="K29" i="8"/>
  <c r="L29" i="8" s="1"/>
  <c r="K24" i="8"/>
  <c r="L24" i="8" s="1"/>
  <c r="K28" i="8"/>
  <c r="L28" i="8" s="1"/>
  <c r="D102" i="8"/>
  <c r="D105" i="8"/>
  <c r="E105" i="8" s="1"/>
  <c r="C98" i="8"/>
  <c r="C97" i="8"/>
  <c r="C93" i="8"/>
  <c r="D90" i="8"/>
  <c r="D97" i="8" s="1"/>
  <c r="D93" i="8" l="1"/>
  <c r="E93" i="8" s="1"/>
  <c r="D99" i="8"/>
  <c r="E99" i="8" s="1"/>
  <c r="D96" i="8"/>
  <c r="E96" i="8" s="1"/>
  <c r="E102" i="8"/>
  <c r="D101" i="8"/>
  <c r="E101" i="8" s="1"/>
  <c r="D95" i="8"/>
  <c r="E95" i="8" s="1"/>
  <c r="E97" i="8"/>
  <c r="D98" i="8"/>
  <c r="E98" i="8" s="1"/>
  <c r="D94" i="8"/>
  <c r="E94" i="8" s="1"/>
  <c r="D87" i="8"/>
  <c r="D92" i="8" s="1"/>
  <c r="E92" i="8" s="1"/>
  <c r="C89" i="8"/>
  <c r="C83" i="8"/>
  <c r="C79" i="8"/>
  <c r="D77" i="8"/>
  <c r="D91" i="8" l="1"/>
  <c r="E91" i="8" s="1"/>
  <c r="D89" i="8"/>
  <c r="E89" i="8" s="1"/>
  <c r="D82" i="8"/>
  <c r="D79" i="8"/>
  <c r="D80" i="8"/>
  <c r="C74" i="8"/>
  <c r="K7" i="8" l="1"/>
  <c r="K15" i="8" l="1"/>
  <c r="L15" i="8" s="1"/>
  <c r="K16" i="8"/>
  <c r="L16" i="8" s="1"/>
  <c r="J9" i="8"/>
  <c r="J34" i="8" s="1"/>
  <c r="K11" i="8"/>
  <c r="L11" i="8" s="1"/>
  <c r="K8" i="8"/>
  <c r="L8" i="8" s="1"/>
  <c r="K6" i="8"/>
  <c r="K5" i="8"/>
  <c r="K4" i="8"/>
  <c r="L4" i="8" s="1"/>
  <c r="L3" i="8"/>
  <c r="M3" i="8" s="1"/>
  <c r="C66" i="8"/>
  <c r="D64" i="8"/>
  <c r="D70" i="8" s="1"/>
  <c r="F6" i="9" l="1"/>
  <c r="G6" i="9" s="1"/>
  <c r="F8" i="9"/>
  <c r="G8" i="9" s="1"/>
  <c r="F9" i="9"/>
  <c r="G9" i="9" s="1"/>
  <c r="F5" i="9"/>
  <c r="G5" i="9" s="1"/>
  <c r="F4" i="9"/>
  <c r="G4" i="9" s="1"/>
  <c r="F7" i="9"/>
  <c r="G7" i="9" s="1"/>
  <c r="D73" i="8"/>
  <c r="D69" i="8"/>
  <c r="D68" i="8"/>
  <c r="D66" i="8"/>
  <c r="D71" i="8"/>
  <c r="D67" i="8"/>
  <c r="K10" i="8"/>
  <c r="L10" i="8" s="1"/>
  <c r="K9" i="8"/>
  <c r="L9" i="8" s="1"/>
  <c r="K13" i="8"/>
  <c r="L13" i="8" s="1"/>
  <c r="K12" i="8"/>
  <c r="L12" i="8" s="1"/>
  <c r="L6" i="8"/>
  <c r="L5" i="8"/>
  <c r="D49" i="8"/>
  <c r="D65" i="8" s="1"/>
  <c r="E65" i="8" s="1"/>
  <c r="C51" i="8"/>
  <c r="C45" i="8"/>
  <c r="M13" i="8" l="1"/>
  <c r="F10" i="9" s="1"/>
  <c r="G10" i="9" s="1"/>
  <c r="D55" i="8"/>
  <c r="E55" i="8" s="1"/>
  <c r="D51" i="8"/>
  <c r="E51" i="8" s="1"/>
  <c r="E71" i="8"/>
  <c r="E67" i="8"/>
  <c r="E69" i="8"/>
  <c r="E70" i="8"/>
  <c r="E68" i="8"/>
  <c r="E73" i="8"/>
  <c r="D52" i="8"/>
  <c r="E52" i="8" s="1"/>
  <c r="D59" i="8"/>
  <c r="E59" i="8" s="1"/>
  <c r="D62" i="8"/>
  <c r="E62" i="8" s="1"/>
  <c r="D60" i="8"/>
  <c r="E60" i="8" s="1"/>
  <c r="E66" i="8"/>
  <c r="D63" i="8"/>
  <c r="E63" i="8" s="1"/>
  <c r="D61" i="8"/>
  <c r="E61" i="8" s="1"/>
  <c r="D58" i="8"/>
  <c r="E58" i="8" s="1"/>
  <c r="D54" i="8"/>
  <c r="E54" i="8" s="1"/>
  <c r="D57" i="8"/>
  <c r="E57" i="8" s="1"/>
  <c r="D53" i="8"/>
  <c r="E53" i="8" s="1"/>
  <c r="D56" i="8"/>
  <c r="E56" i="8" s="1"/>
  <c r="C40" i="8"/>
  <c r="C31" i="8" l="1"/>
  <c r="C30" i="8"/>
  <c r="C20" i="8" l="1"/>
  <c r="D18" i="8"/>
  <c r="C17" i="8"/>
  <c r="D15" i="8"/>
  <c r="D19" i="8" s="1"/>
  <c r="E19" i="8" s="1"/>
  <c r="C14" i="8"/>
  <c r="D12" i="8"/>
  <c r="D14" i="8" s="1"/>
  <c r="C11" i="8"/>
  <c r="D9" i="8"/>
  <c r="D13" i="8" s="1"/>
  <c r="E13" i="8" s="1"/>
  <c r="D6" i="8"/>
  <c r="D7" i="8" s="1"/>
  <c r="E7" i="8" s="1"/>
  <c r="C232" i="8" l="1"/>
  <c r="D43" i="8"/>
  <c r="E43" i="8" s="1"/>
  <c r="D45" i="8"/>
  <c r="E45" i="8" s="1"/>
  <c r="D47" i="8"/>
  <c r="E47" i="8" s="1"/>
  <c r="D48" i="8"/>
  <c r="E48" i="8" s="1"/>
  <c r="D46" i="8"/>
  <c r="E46" i="8" s="1"/>
  <c r="D50" i="8"/>
  <c r="E50" i="8" s="1"/>
  <c r="D44" i="8"/>
  <c r="E44" i="8" s="1"/>
  <c r="D39" i="8"/>
  <c r="E39" i="8" s="1"/>
  <c r="D41" i="8"/>
  <c r="E41" i="8" s="1"/>
  <c r="D38" i="8"/>
  <c r="E38" i="8" s="1"/>
  <c r="D42" i="8"/>
  <c r="E42" i="8" s="1"/>
  <c r="D40" i="8"/>
  <c r="E40" i="8" s="1"/>
  <c r="D37" i="8"/>
  <c r="E37" i="8" s="1"/>
  <c r="D35" i="8"/>
  <c r="E35" i="8" s="1"/>
  <c r="D30" i="8"/>
  <c r="E30" i="8" s="1"/>
  <c r="D36" i="8"/>
  <c r="E36" i="8" s="1"/>
  <c r="D31" i="8"/>
  <c r="E31" i="8" s="1"/>
  <c r="D26" i="8"/>
  <c r="E26" i="8" s="1"/>
  <c r="D23" i="8"/>
  <c r="D28" i="8"/>
  <c r="D27" i="8"/>
  <c r="E27" i="8" s="1"/>
  <c r="D29" i="8"/>
  <c r="E29" i="8" s="1"/>
  <c r="D22" i="8"/>
  <c r="E22" i="8" s="1"/>
  <c r="D16" i="8"/>
  <c r="E16" i="8" s="1"/>
  <c r="D25" i="8"/>
  <c r="E25" i="8" s="1"/>
  <c r="D21" i="8"/>
  <c r="E21" i="8" s="1"/>
  <c r="D17" i="8"/>
  <c r="E17" i="8" s="1"/>
  <c r="D20" i="8"/>
  <c r="E20" i="8" s="1"/>
  <c r="D24" i="8"/>
  <c r="E24" i="8" s="1"/>
  <c r="E14" i="8"/>
  <c r="D11" i="8"/>
  <c r="E11" i="8" s="1"/>
  <c r="D8" i="8"/>
  <c r="E8" i="8" s="1"/>
  <c r="D3" i="8"/>
  <c r="E3" i="8" s="1"/>
  <c r="D10" i="8"/>
  <c r="E10" i="8" s="1"/>
  <c r="D4" i="8"/>
  <c r="E4" i="8" s="1"/>
  <c r="D5" i="8"/>
  <c r="E5" i="8" s="1"/>
  <c r="F8" i="8" l="1"/>
  <c r="E28" i="8"/>
  <c r="E23" i="8"/>
  <c r="D32" i="8"/>
  <c r="E32" i="8" s="1"/>
  <c r="D34" i="8"/>
  <c r="E34" i="8" s="1"/>
  <c r="D33" i="8"/>
  <c r="E33" i="8" s="1"/>
  <c r="D72" i="8"/>
  <c r="C4" i="9" l="1"/>
  <c r="D4" i="9" s="1"/>
  <c r="F14" i="8"/>
  <c r="D76" i="8"/>
  <c r="E76" i="8" s="1"/>
  <c r="D75" i="8"/>
  <c r="E75" i="8" s="1"/>
  <c r="D74" i="8"/>
  <c r="E74" i="8" s="1"/>
  <c r="E82" i="8"/>
  <c r="E79" i="8"/>
  <c r="D78" i="8"/>
  <c r="E78" i="8" s="1"/>
  <c r="C5" i="9" l="1"/>
  <c r="D5" i="9" s="1"/>
  <c r="F28" i="8"/>
  <c r="E80" i="8"/>
  <c r="F38" i="8" l="1"/>
  <c r="C6" i="9"/>
  <c r="D6" i="9" s="1"/>
  <c r="D81" i="8"/>
  <c r="C7" i="9" l="1"/>
  <c r="D7" i="9" s="1"/>
  <c r="F52" i="8"/>
  <c r="D88" i="8"/>
  <c r="E88" i="8" s="1"/>
  <c r="D84" i="8"/>
  <c r="E84" i="8" s="1"/>
  <c r="D83" i="8"/>
  <c r="E83" i="8" s="1"/>
  <c r="D85" i="8"/>
  <c r="E85" i="8" s="1"/>
  <c r="D86" i="8"/>
  <c r="E86" i="8" s="1"/>
  <c r="F70" i="8" l="1"/>
  <c r="C8" i="9"/>
  <c r="D8" i="9" s="1"/>
  <c r="K18" i="8"/>
  <c r="L18" i="8" s="1"/>
  <c r="F89" i="8" l="1"/>
  <c r="C9" i="9"/>
  <c r="D9" i="9" s="1"/>
  <c r="K17" i="8"/>
  <c r="L17" i="8" s="1"/>
  <c r="K19" i="8"/>
  <c r="L19" i="8" s="1"/>
  <c r="K31" i="8"/>
  <c r="L31" i="8" s="1"/>
  <c r="K20" i="8"/>
  <c r="L20" i="8" s="1"/>
  <c r="M19" i="8" l="1"/>
  <c r="C10" i="9"/>
  <c r="D10" i="9" s="1"/>
  <c r="L34" i="8"/>
  <c r="L38" i="8" s="1"/>
  <c r="F11" i="9" l="1"/>
  <c r="G11" i="9" s="1"/>
  <c r="M20" i="8"/>
  <c r="D106" i="8"/>
  <c r="E106" i="8" s="1"/>
  <c r="D108" i="8"/>
  <c r="E108" i="8" s="1"/>
  <c r="D111" i="8"/>
  <c r="E111" i="8" s="1"/>
  <c r="D109" i="8"/>
  <c r="E109" i="8" s="1"/>
  <c r="D107" i="8"/>
  <c r="E107" i="8" s="1"/>
  <c r="F12" i="9" l="1"/>
  <c r="G12" i="9" s="1"/>
  <c r="M22" i="8"/>
  <c r="F108" i="8"/>
  <c r="E119" i="8"/>
  <c r="F13" i="9" l="1"/>
  <c r="G13" i="9" s="1"/>
  <c r="M23" i="8"/>
  <c r="C11" i="9"/>
  <c r="D11" i="9" s="1"/>
  <c r="D121" i="8"/>
  <c r="E121" i="8" s="1"/>
  <c r="E122" i="8"/>
  <c r="M24" i="8" l="1"/>
  <c r="F15" i="9" s="1"/>
  <c r="G15" i="9" s="1"/>
  <c r="F14" i="9"/>
  <c r="G14" i="9" s="1"/>
  <c r="D123" i="8"/>
  <c r="D130" i="8"/>
  <c r="D134" i="8" s="1"/>
  <c r="E134" i="8" s="1"/>
  <c r="D132" i="8" l="1"/>
  <c r="E132" i="8" s="1"/>
  <c r="D125" i="8"/>
  <c r="E125" i="8" s="1"/>
  <c r="D127" i="8"/>
  <c r="E127" i="8" s="1"/>
  <c r="E232" i="8" l="1"/>
  <c r="D236" i="8" s="1"/>
  <c r="F140" i="8"/>
  <c r="E236" i="8" l="1"/>
  <c r="G233" i="8"/>
  <c r="C12" i="9"/>
  <c r="D12" i="9" s="1"/>
  <c r="F177" i="8"/>
  <c r="C13" i="9" l="1"/>
  <c r="D13" i="9" s="1"/>
  <c r="F199" i="8"/>
  <c r="D15" i="9" l="1"/>
  <c r="C14" i="9"/>
  <c r="D14" i="9" s="1"/>
</calcChain>
</file>

<file path=xl/sharedStrings.xml><?xml version="1.0" encoding="utf-8"?>
<sst xmlns="http://schemas.openxmlformats.org/spreadsheetml/2006/main" count="276" uniqueCount="99">
  <si>
    <t>FECHA</t>
  </si>
  <si>
    <t>DETALLE</t>
  </si>
  <si>
    <t>KOLFF</t>
  </si>
  <si>
    <t>IVA</t>
  </si>
  <si>
    <t>RSM</t>
  </si>
  <si>
    <t>SONDA</t>
  </si>
  <si>
    <t>CLP</t>
  </si>
  <si>
    <t>TC</t>
  </si>
  <si>
    <t>USD</t>
  </si>
  <si>
    <t>TRANSFERENCIA</t>
  </si>
  <si>
    <t>COMPRA MC</t>
  </si>
  <si>
    <t>HOTEL DIRECTOR</t>
  </si>
  <si>
    <t>FEDEX</t>
  </si>
  <si>
    <t>SII - IVA</t>
  </si>
  <si>
    <t>COMISION</t>
  </si>
  <si>
    <t>UPS</t>
  </si>
  <si>
    <t>C-01523 ADUANA</t>
  </si>
  <si>
    <t>SHIP 0005</t>
  </si>
  <si>
    <t>SHIP 0006</t>
  </si>
  <si>
    <t>DHL</t>
  </si>
  <si>
    <t>SHIP 010</t>
  </si>
  <si>
    <t>SHIP 013</t>
  </si>
  <si>
    <t>EASY POINT</t>
  </si>
  <si>
    <t>DEPARTAMENTO</t>
  </si>
  <si>
    <t>ALQUILER AUTO</t>
  </si>
  <si>
    <t>GASTOS PAGO BELDEN</t>
  </si>
  <si>
    <t>SHIP 007</t>
  </si>
  <si>
    <t>DIF VS SHIPS</t>
  </si>
  <si>
    <t>SHIP 015</t>
  </si>
  <si>
    <t>SHIP 017</t>
  </si>
  <si>
    <t>SHIP 018</t>
  </si>
  <si>
    <t>ROTULADORA</t>
  </si>
  <si>
    <t>PATENTES</t>
  </si>
  <si>
    <t>SHIP 014</t>
  </si>
  <si>
    <t>SHIP 016</t>
  </si>
  <si>
    <t>UYU</t>
  </si>
  <si>
    <t>SALDO USD</t>
  </si>
  <si>
    <t>INCIAL</t>
  </si>
  <si>
    <t>GTOS BCO</t>
  </si>
  <si>
    <t>CO-1000 CAV</t>
  </si>
  <si>
    <t>TOTAL USD</t>
  </si>
  <si>
    <t>SHIP 019</t>
  </si>
  <si>
    <t>SHIP 020</t>
  </si>
  <si>
    <t>RITTAL CL</t>
  </si>
  <si>
    <t>SHIP 021</t>
  </si>
  <si>
    <t>SHIP 022</t>
  </si>
  <si>
    <t>VDA</t>
  </si>
  <si>
    <t>SHIP 021 + 019</t>
  </si>
  <si>
    <t>SYNIXTOR</t>
  </si>
  <si>
    <t>VISA DEBITO</t>
  </si>
  <si>
    <t>HOTEL EUROTEL</t>
  </si>
  <si>
    <t>TOTAL</t>
  </si>
  <si>
    <t>CHILE</t>
  </si>
  <si>
    <t>URUGUAY</t>
  </si>
  <si>
    <t>SALDO</t>
  </si>
  <si>
    <t>SHIP 023</t>
  </si>
  <si>
    <t>MONTECARLO</t>
  </si>
  <si>
    <t>SEGURO BCI</t>
  </si>
  <si>
    <t>DESIMAT</t>
  </si>
  <si>
    <t>SHIPS 025 026</t>
  </si>
  <si>
    <t>SHIP 028</t>
  </si>
  <si>
    <t>SHIP 024</t>
  </si>
  <si>
    <t>SHIP 029</t>
  </si>
  <si>
    <t>SHIP 027</t>
  </si>
  <si>
    <t>TECNOLOGIA LK</t>
  </si>
  <si>
    <t>SHIP 030</t>
  </si>
  <si>
    <t>BCI</t>
  </si>
  <si>
    <t>SHIP 033</t>
  </si>
  <si>
    <t>SHIP 032</t>
  </si>
  <si>
    <t>SHIP 035</t>
  </si>
  <si>
    <t>SHIP 034</t>
  </si>
  <si>
    <t>COMPRATECNO</t>
  </si>
  <si>
    <t>MANTENIMIENTO</t>
  </si>
  <si>
    <t>PAGO IVA</t>
  </si>
  <si>
    <t>INTERLOG</t>
  </si>
  <si>
    <t>SHIP 036</t>
  </si>
  <si>
    <t>CORTE INGLES</t>
  </si>
  <si>
    <t>PESCO</t>
  </si>
  <si>
    <t>COMISION HERNAN CANTOR</t>
  </si>
  <si>
    <t>EL CORTE INGLES</t>
  </si>
  <si>
    <t>INGRID BURGOS</t>
  </si>
  <si>
    <t>KOLFF FC 128040</t>
  </si>
  <si>
    <t>BOOKING</t>
  </si>
  <si>
    <t>SEL (Examenes medicos)</t>
  </si>
  <si>
    <t>*FEBRERO 23</t>
  </si>
  <si>
    <t>*MARZO 23</t>
  </si>
  <si>
    <t>*ABRIL 23</t>
  </si>
  <si>
    <t>*MAYO 23</t>
  </si>
  <si>
    <t>*JUNIO 23</t>
  </si>
  <si>
    <t>*JULIO 23</t>
  </si>
  <si>
    <t>*AGOSTO 23</t>
  </si>
  <si>
    <t>*SEPTIEMBRE 23</t>
  </si>
  <si>
    <t>*OCTUBRE 23</t>
  </si>
  <si>
    <t>*NOVIEMBRE 23</t>
  </si>
  <si>
    <t>*DICIEMBRE 23</t>
  </si>
  <si>
    <t>*ENERO 24</t>
  </si>
  <si>
    <t>*FEBRERO 24</t>
  </si>
  <si>
    <t>RSM CHILE</t>
  </si>
  <si>
    <t>KOLFF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</si>
</sst>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  <numFmt numFmtId="167" formatCode="_-* #,##0.000_-;\-* #,##0.000_-;_-* &quot;-&quot;???_-;_-@_-"/>
    <numFmt numFmtId="168" formatCode="_-* #,##0.00_-;\-* #,##0.00_-;_-* &quot;-&quot;???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6">
    <xf numFmtId="0" fontId="0" fillId="0" borderId="0" xfId="0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3" fillId="0" borderId="0" xfId="1" applyFont="1" applyAlignment="1">
      <alignment horizontal="center"/>
    </xf>
    <xf numFmtId="164" fontId="3" fillId="0" borderId="0" xfId="1" applyFont="1" applyFill="1" applyAlignment="1">
      <alignment horizontal="center"/>
    </xf>
    <xf numFmtId="14" fontId="4" fillId="0" borderId="0" xfId="0" applyNumberFormat="1" applyFont="1"/>
    <xf numFmtId="0" fontId="4" fillId="0" borderId="0" xfId="0" applyFont="1"/>
    <xf numFmtId="165" fontId="4" fillId="0" borderId="0" xfId="1" applyNumberFormat="1" applyFont="1"/>
    <xf numFmtId="166" fontId="4" fillId="0" borderId="0" xfId="0" applyNumberFormat="1" applyFont="1"/>
    <xf numFmtId="164" fontId="4" fillId="0" borderId="0" xfId="1" applyFont="1"/>
    <xf numFmtId="164" fontId="4" fillId="0" borderId="0" xfId="1" applyFont="1" applyFill="1"/>
    <xf numFmtId="14" fontId="4" fillId="0" borderId="1" xfId="0" applyNumberFormat="1" applyFont="1" applyBorder="1"/>
    <xf numFmtId="0" fontId="4" fillId="0" borderId="1" xfId="0" applyFont="1" applyBorder="1"/>
    <xf numFmtId="164" fontId="4" fillId="0" borderId="1" xfId="1" applyFont="1" applyBorder="1"/>
    <xf numFmtId="166" fontId="4" fillId="0" borderId="1" xfId="0" applyNumberFormat="1" applyFont="1" applyBorder="1"/>
    <xf numFmtId="14" fontId="5" fillId="2" borderId="0" xfId="0" applyNumberFormat="1" applyFont="1" applyFill="1"/>
    <xf numFmtId="0" fontId="5" fillId="2" borderId="0" xfId="0" applyFont="1" applyFill="1"/>
    <xf numFmtId="165" fontId="5" fillId="2" borderId="0" xfId="1" applyNumberFormat="1" applyFont="1" applyFill="1"/>
    <xf numFmtId="166" fontId="5" fillId="2" borderId="0" xfId="0" applyNumberFormat="1" applyFont="1" applyFill="1" applyAlignment="1">
      <alignment horizontal="center"/>
    </xf>
    <xf numFmtId="164" fontId="5" fillId="2" borderId="0" xfId="1" applyFont="1" applyFill="1"/>
    <xf numFmtId="164" fontId="5" fillId="0" borderId="0" xfId="1" applyFont="1" applyFill="1"/>
    <xf numFmtId="165" fontId="4" fillId="0" borderId="1" xfId="1" applyNumberFormat="1" applyFont="1" applyBorder="1"/>
    <xf numFmtId="164" fontId="4" fillId="0" borderId="1" xfId="1" applyFont="1" applyFill="1" applyBorder="1"/>
    <xf numFmtId="164" fontId="4" fillId="0" borderId="0" xfId="0" applyNumberFormat="1" applyFont="1"/>
    <xf numFmtId="164" fontId="4" fillId="0" borderId="1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164" fontId="4" fillId="0" borderId="2" xfId="1" applyFont="1" applyBorder="1"/>
    <xf numFmtId="166" fontId="4" fillId="0" borderId="2" xfId="0" applyNumberFormat="1" applyFont="1" applyBorder="1"/>
    <xf numFmtId="164" fontId="4" fillId="0" borderId="0" xfId="1" applyFont="1" applyBorder="1"/>
    <xf numFmtId="4" fontId="4" fillId="0" borderId="0" xfId="1" applyNumberFormat="1" applyFont="1"/>
    <xf numFmtId="165" fontId="4" fillId="0" borderId="0" xfId="0" applyNumberFormat="1" applyFont="1"/>
    <xf numFmtId="165" fontId="4" fillId="0" borderId="0" xfId="1" applyNumberFormat="1" applyFont="1" applyBorder="1"/>
    <xf numFmtId="164" fontId="4" fillId="0" borderId="0" xfId="1" applyFont="1" applyFill="1" applyBorder="1"/>
    <xf numFmtId="167" fontId="4" fillId="0" borderId="0" xfId="0" applyNumberFormat="1" applyFont="1"/>
    <xf numFmtId="165" fontId="4" fillId="0" borderId="0" xfId="1" applyNumberFormat="1" applyFont="1" applyFill="1"/>
    <xf numFmtId="164" fontId="6" fillId="0" borderId="0" xfId="1" applyFont="1" applyFill="1"/>
    <xf numFmtId="164" fontId="6" fillId="0" borderId="1" xfId="1" applyFont="1" applyBorder="1"/>
    <xf numFmtId="164" fontId="6" fillId="0" borderId="0" xfId="1" applyFont="1"/>
    <xf numFmtId="1" fontId="4" fillId="0" borderId="0" xfId="0" applyNumberFormat="1" applyFont="1"/>
    <xf numFmtId="0" fontId="4" fillId="0" borderId="0" xfId="0" applyFont="1" applyAlignment="1">
      <alignment horizontal="center"/>
    </xf>
    <xf numFmtId="164" fontId="3" fillId="0" borderId="0" xfId="1" applyFont="1"/>
    <xf numFmtId="168" fontId="4" fillId="0" borderId="0" xfId="0" applyNumberFormat="1" applyFo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6B5B-ABC1-4B09-9352-8584BEC2A553}">
  <dimension ref="A2:R266"/>
  <sheetViews>
    <sheetView tabSelected="1" workbookViewId="0">
      <selection activeCell="F19" sqref="F19"/>
    </sheetView>
  </sheetViews>
  <sheetFormatPr baseColWidth="10" defaultColWidth="11.5703125" defaultRowHeight="12.75" x14ac:dyDescent="0.2"/>
  <cols>
    <col min="1" max="1" width="10.5703125" style="6" bestFit="1" customWidth="1"/>
    <col min="2" max="2" width="23.28515625" style="7" bestFit="1" customWidth="1"/>
    <col min="3" max="3" width="12" style="8" bestFit="1" customWidth="1"/>
    <col min="4" max="4" width="8.5703125" style="7" bestFit="1" customWidth="1"/>
    <col min="5" max="5" width="11" style="10" bestFit="1" customWidth="1"/>
    <col min="6" max="6" width="11.85546875" style="11" bestFit="1" customWidth="1"/>
    <col min="7" max="7" width="7.5703125" style="7" bestFit="1" customWidth="1"/>
    <col min="8" max="8" width="10.5703125" style="6" bestFit="1" customWidth="1"/>
    <col min="9" max="9" width="11.42578125" style="7" bestFit="1" customWidth="1"/>
    <col min="10" max="10" width="11" style="10" bestFit="1" customWidth="1"/>
    <col min="11" max="11" width="11" style="7" bestFit="1" customWidth="1"/>
    <col min="12" max="12" width="12.42578125" style="10" bestFit="1" customWidth="1"/>
    <col min="13" max="13" width="12.42578125" style="7" bestFit="1" customWidth="1"/>
    <col min="14" max="16384" width="11.5703125" style="7"/>
  </cols>
  <sheetData>
    <row r="2" spans="1:13" s="2" customFormat="1" x14ac:dyDescent="0.2">
      <c r="A2" s="1" t="s">
        <v>0</v>
      </c>
      <c r="B2" s="2" t="s">
        <v>1</v>
      </c>
      <c r="C2" s="3" t="s">
        <v>6</v>
      </c>
      <c r="D2" s="2" t="s">
        <v>7</v>
      </c>
      <c r="E2" s="4" t="s">
        <v>8</v>
      </c>
      <c r="F2" s="5" t="s">
        <v>54</v>
      </c>
      <c r="H2" s="1" t="s">
        <v>0</v>
      </c>
      <c r="I2" s="2" t="s">
        <v>1</v>
      </c>
      <c r="J2" s="4" t="s">
        <v>35</v>
      </c>
      <c r="K2" s="2" t="s">
        <v>7</v>
      </c>
      <c r="L2" s="4" t="s">
        <v>8</v>
      </c>
      <c r="M2" s="2" t="s">
        <v>54</v>
      </c>
    </row>
    <row r="3" spans="1:13" x14ac:dyDescent="0.2">
      <c r="A3" s="6">
        <v>44966</v>
      </c>
      <c r="B3" s="7" t="s">
        <v>14</v>
      </c>
      <c r="C3" s="8">
        <v>-35318</v>
      </c>
      <c r="D3" s="9">
        <f>+D6</f>
        <v>825.6</v>
      </c>
      <c r="E3" s="10">
        <f>+C3/D3</f>
        <v>-42.77858527131783</v>
      </c>
      <c r="H3" s="12">
        <v>45134</v>
      </c>
      <c r="I3" s="13" t="s">
        <v>37</v>
      </c>
      <c r="J3" s="14">
        <v>833.38</v>
      </c>
      <c r="K3" s="15">
        <v>38</v>
      </c>
      <c r="L3" s="14">
        <f>+J3/K3</f>
        <v>21.931052631578947</v>
      </c>
      <c r="M3" s="14">
        <f>+L3</f>
        <v>21.931052631578947</v>
      </c>
    </row>
    <row r="4" spans="1:13" x14ac:dyDescent="0.2">
      <c r="A4" s="6">
        <v>44966</v>
      </c>
      <c r="B4" s="7" t="s">
        <v>3</v>
      </c>
      <c r="C4" s="8">
        <v>-6710</v>
      </c>
      <c r="D4" s="9">
        <f>+D6</f>
        <v>825.6</v>
      </c>
      <c r="E4" s="10">
        <f t="shared" ref="E4:E5" si="0">+C4/D4</f>
        <v>-8.1274224806201545</v>
      </c>
      <c r="H4" s="6">
        <v>45139</v>
      </c>
      <c r="I4" s="7" t="s">
        <v>38</v>
      </c>
      <c r="J4" s="10">
        <v>-115</v>
      </c>
      <c r="K4" s="9">
        <f>+$K$3</f>
        <v>38</v>
      </c>
      <c r="L4" s="10">
        <f t="shared" ref="L4:L13" si="1">+J4/K4</f>
        <v>-3.0263157894736841</v>
      </c>
      <c r="M4" s="10"/>
    </row>
    <row r="5" spans="1:13" x14ac:dyDescent="0.2">
      <c r="A5" s="6">
        <v>44967</v>
      </c>
      <c r="B5" s="7" t="s">
        <v>9</v>
      </c>
      <c r="C5" s="8">
        <v>43000</v>
      </c>
      <c r="D5" s="9">
        <f>+D6</f>
        <v>825.6</v>
      </c>
      <c r="E5" s="10">
        <f t="shared" si="0"/>
        <v>52.083333333333329</v>
      </c>
      <c r="H5" s="6">
        <v>45140</v>
      </c>
      <c r="I5" s="7" t="s">
        <v>39</v>
      </c>
      <c r="J5" s="10">
        <v>-535.53</v>
      </c>
      <c r="K5" s="9">
        <f>+$K$3</f>
        <v>38</v>
      </c>
      <c r="L5" s="10">
        <f t="shared" si="1"/>
        <v>-14.092894736842105</v>
      </c>
      <c r="M5" s="10"/>
    </row>
    <row r="6" spans="1:13" x14ac:dyDescent="0.2">
      <c r="A6" s="16">
        <v>44984</v>
      </c>
      <c r="B6" s="17" t="s">
        <v>10</v>
      </c>
      <c r="C6" s="18">
        <v>82560</v>
      </c>
      <c r="D6" s="19">
        <f>+C6/E6</f>
        <v>825.6</v>
      </c>
      <c r="E6" s="20">
        <v>100</v>
      </c>
      <c r="F6" s="21"/>
      <c r="H6" s="6">
        <v>45140</v>
      </c>
      <c r="I6" s="7" t="s">
        <v>38</v>
      </c>
      <c r="J6" s="10">
        <v>-71.239999999999995</v>
      </c>
      <c r="K6" s="9">
        <f>+$K$3</f>
        <v>38</v>
      </c>
      <c r="L6" s="10">
        <f t="shared" si="1"/>
        <v>-1.874736842105263</v>
      </c>
      <c r="M6" s="10"/>
    </row>
    <row r="7" spans="1:13" x14ac:dyDescent="0.2">
      <c r="A7" s="6">
        <v>44984</v>
      </c>
      <c r="B7" s="7" t="s">
        <v>14</v>
      </c>
      <c r="C7" s="8">
        <v>-35500</v>
      </c>
      <c r="D7" s="9">
        <f>+D6</f>
        <v>825.6</v>
      </c>
      <c r="E7" s="10">
        <f>+C7/D7</f>
        <v>-42.999031007751938</v>
      </c>
      <c r="H7" s="16">
        <v>45140</v>
      </c>
      <c r="I7" s="17" t="s">
        <v>10</v>
      </c>
      <c r="J7" s="20">
        <v>540000</v>
      </c>
      <c r="K7" s="19">
        <f>+J7/L7</f>
        <v>36.950009374354231</v>
      </c>
      <c r="L7" s="20">
        <v>14614.34</v>
      </c>
      <c r="M7" s="10"/>
    </row>
    <row r="8" spans="1:13" x14ac:dyDescent="0.2">
      <c r="A8" s="12">
        <v>44984</v>
      </c>
      <c r="B8" s="13" t="s">
        <v>3</v>
      </c>
      <c r="C8" s="22">
        <v>-6745</v>
      </c>
      <c r="D8" s="15">
        <f>+D6</f>
        <v>825.6</v>
      </c>
      <c r="E8" s="14">
        <f>+C8/D8</f>
        <v>-8.1698158914728687</v>
      </c>
      <c r="F8" s="23">
        <f>SUM(E3:E8)</f>
        <v>50.008478682170534</v>
      </c>
      <c r="G8" s="24"/>
      <c r="H8" s="6">
        <v>45141</v>
      </c>
      <c r="I8" s="7" t="s">
        <v>39</v>
      </c>
      <c r="J8" s="10">
        <v>-111.61</v>
      </c>
      <c r="K8" s="9">
        <f>+$K$3</f>
        <v>38</v>
      </c>
      <c r="L8" s="10">
        <f t="shared" si="1"/>
        <v>-2.9371052631578949</v>
      </c>
      <c r="M8" s="10"/>
    </row>
    <row r="9" spans="1:13" x14ac:dyDescent="0.2">
      <c r="A9" s="16">
        <v>44994</v>
      </c>
      <c r="B9" s="17" t="s">
        <v>10</v>
      </c>
      <c r="C9" s="18">
        <v>2389500</v>
      </c>
      <c r="D9" s="19">
        <f>+C9/E9</f>
        <v>796.5</v>
      </c>
      <c r="E9" s="20">
        <v>3000</v>
      </c>
      <c r="F9" s="21"/>
      <c r="H9" s="6">
        <v>45141</v>
      </c>
      <c r="I9" s="7" t="s">
        <v>39</v>
      </c>
      <c r="J9" s="10">
        <f>-284993.47-J8</f>
        <v>-284881.86</v>
      </c>
      <c r="K9" s="9">
        <f>+$K$7</f>
        <v>36.950009374354231</v>
      </c>
      <c r="L9" s="10">
        <f t="shared" si="1"/>
        <v>-7709.9265960599996</v>
      </c>
      <c r="M9" s="10"/>
    </row>
    <row r="10" spans="1:13" x14ac:dyDescent="0.2">
      <c r="A10" s="6">
        <v>44995</v>
      </c>
      <c r="B10" s="7" t="s">
        <v>11</v>
      </c>
      <c r="C10" s="8">
        <v>-41287</v>
      </c>
      <c r="D10" s="9">
        <f>+D6</f>
        <v>825.6</v>
      </c>
      <c r="E10" s="10">
        <f>+C10/D10</f>
        <v>-50.008478682170541</v>
      </c>
      <c r="H10" s="6">
        <v>45141</v>
      </c>
      <c r="I10" s="7" t="s">
        <v>38</v>
      </c>
      <c r="J10" s="10">
        <v>-71.930000000000007</v>
      </c>
      <c r="K10" s="9">
        <f t="shared" ref="K10:K16" si="2">+$K$7</f>
        <v>36.950009374354231</v>
      </c>
      <c r="L10" s="10">
        <f t="shared" si="1"/>
        <v>-1.9466842151851853</v>
      </c>
      <c r="M10" s="10"/>
    </row>
    <row r="11" spans="1:13" x14ac:dyDescent="0.2">
      <c r="A11" s="6">
        <v>44995</v>
      </c>
      <c r="B11" s="7" t="s">
        <v>11</v>
      </c>
      <c r="C11" s="8">
        <f>-2382380-C10</f>
        <v>-2341093</v>
      </c>
      <c r="D11" s="9">
        <f>+D9</f>
        <v>796.5</v>
      </c>
      <c r="E11" s="10">
        <f>+C11/D11</f>
        <v>-2939.2253609541744</v>
      </c>
      <c r="H11" s="6">
        <v>45141</v>
      </c>
      <c r="I11" s="7" t="s">
        <v>39</v>
      </c>
      <c r="J11" s="10">
        <v>-250000</v>
      </c>
      <c r="K11" s="9">
        <f t="shared" si="2"/>
        <v>36.950009374354231</v>
      </c>
      <c r="L11" s="10">
        <f t="shared" si="1"/>
        <v>-6765.8981481481478</v>
      </c>
      <c r="M11" s="10"/>
    </row>
    <row r="12" spans="1:13" x14ac:dyDescent="0.2">
      <c r="A12" s="16">
        <v>45007</v>
      </c>
      <c r="B12" s="17" t="s">
        <v>10</v>
      </c>
      <c r="C12" s="18">
        <v>4903002</v>
      </c>
      <c r="D12" s="19">
        <f>+C12/E12</f>
        <v>819.9</v>
      </c>
      <c r="E12" s="20">
        <v>5980</v>
      </c>
      <c r="F12" s="21"/>
      <c r="H12" s="6">
        <v>45141</v>
      </c>
      <c r="I12" s="7" t="s">
        <v>38</v>
      </c>
      <c r="J12" s="10">
        <v>-71.930000000000007</v>
      </c>
      <c r="K12" s="9">
        <f t="shared" si="2"/>
        <v>36.950009374354231</v>
      </c>
      <c r="L12" s="10">
        <f t="shared" si="1"/>
        <v>-1.9466842151851853</v>
      </c>
      <c r="M12" s="10"/>
    </row>
    <row r="13" spans="1:13" x14ac:dyDescent="0.2">
      <c r="A13" s="6">
        <v>45008</v>
      </c>
      <c r="B13" s="7" t="s">
        <v>4</v>
      </c>
      <c r="C13" s="8">
        <v>-48407</v>
      </c>
      <c r="D13" s="9">
        <f>+D9</f>
        <v>796.5</v>
      </c>
      <c r="E13" s="10">
        <f>+C13/D13</f>
        <v>-60.774639045825488</v>
      </c>
      <c r="H13" s="12">
        <v>45149</v>
      </c>
      <c r="I13" s="13" t="s">
        <v>4</v>
      </c>
      <c r="J13" s="14">
        <v>-1600</v>
      </c>
      <c r="K13" s="15">
        <f t="shared" si="2"/>
        <v>36.950009374354231</v>
      </c>
      <c r="L13" s="14">
        <f t="shared" si="1"/>
        <v>-43.30174814814815</v>
      </c>
      <c r="M13" s="14">
        <f>+M3+SUM(L4:L13)</f>
        <v>91.320139213334755</v>
      </c>
    </row>
    <row r="14" spans="1:13" x14ac:dyDescent="0.2">
      <c r="A14" s="12">
        <v>45008</v>
      </c>
      <c r="B14" s="13" t="s">
        <v>4</v>
      </c>
      <c r="C14" s="22">
        <f>-4588931-C13</f>
        <v>-4540524</v>
      </c>
      <c r="D14" s="15">
        <f>+D12</f>
        <v>819.9</v>
      </c>
      <c r="E14" s="14">
        <f>+C14/D14</f>
        <v>-5537.899743871204</v>
      </c>
      <c r="F14" s="23">
        <f>+F8+SUM(E9:E14)</f>
        <v>442.10025612879667</v>
      </c>
      <c r="G14" s="24"/>
      <c r="H14" s="16">
        <v>45170</v>
      </c>
      <c r="I14" s="17" t="s">
        <v>10</v>
      </c>
      <c r="J14" s="20">
        <v>7370</v>
      </c>
      <c r="K14" s="19">
        <f>+J14/L14</f>
        <v>36.85</v>
      </c>
      <c r="L14" s="20">
        <v>200</v>
      </c>
      <c r="M14" s="10"/>
    </row>
    <row r="15" spans="1:13" x14ac:dyDescent="0.2">
      <c r="A15" s="16">
        <v>45027</v>
      </c>
      <c r="B15" s="17" t="s">
        <v>10</v>
      </c>
      <c r="C15" s="18">
        <v>150000000</v>
      </c>
      <c r="D15" s="19">
        <f>+C15/E15</f>
        <v>809.4999896653834</v>
      </c>
      <c r="E15" s="20">
        <v>185299.57</v>
      </c>
      <c r="F15" s="21"/>
      <c r="H15" s="6">
        <v>45170</v>
      </c>
      <c r="I15" s="7" t="s">
        <v>38</v>
      </c>
      <c r="J15" s="10">
        <v>-115</v>
      </c>
      <c r="K15" s="9">
        <f t="shared" si="2"/>
        <v>36.950009374354231</v>
      </c>
      <c r="L15" s="10">
        <f t="shared" ref="L15:L20" si="3">+J15/K15</f>
        <v>-3.1123131481481483</v>
      </c>
    </row>
    <row r="16" spans="1:13" x14ac:dyDescent="0.2">
      <c r="A16" s="6">
        <v>45028</v>
      </c>
      <c r="B16" s="7" t="s">
        <v>5</v>
      </c>
      <c r="C16" s="8">
        <v>-362478</v>
      </c>
      <c r="D16" s="9">
        <f>+D12</f>
        <v>819.9</v>
      </c>
      <c r="E16" s="10">
        <f>+C16/D16</f>
        <v>-442.10025612879622</v>
      </c>
      <c r="H16" s="6">
        <v>45173</v>
      </c>
      <c r="I16" s="7" t="s">
        <v>39</v>
      </c>
      <c r="J16" s="10">
        <v>-3259.28</v>
      </c>
      <c r="K16" s="9">
        <f t="shared" si="2"/>
        <v>36.950009374354231</v>
      </c>
      <c r="L16" s="10">
        <f t="shared" si="3"/>
        <v>-88.207826065185188</v>
      </c>
    </row>
    <row r="17" spans="1:13" x14ac:dyDescent="0.2">
      <c r="A17" s="6">
        <v>45028</v>
      </c>
      <c r="B17" s="7" t="s">
        <v>5</v>
      </c>
      <c r="C17" s="8">
        <f>-148351856-C16</f>
        <v>-147989378</v>
      </c>
      <c r="D17" s="9">
        <f>+D15</f>
        <v>809.4999896653834</v>
      </c>
      <c r="E17" s="10">
        <f>+C17/D17</f>
        <v>-182815.78738644975</v>
      </c>
      <c r="H17" s="6">
        <v>45173</v>
      </c>
      <c r="I17" s="7" t="s">
        <v>39</v>
      </c>
      <c r="J17" s="10">
        <f>-7022.06-J16</f>
        <v>-3762.78</v>
      </c>
      <c r="K17" s="9">
        <f>+$K$14</f>
        <v>36.85</v>
      </c>
      <c r="L17" s="10">
        <f t="shared" si="3"/>
        <v>-102.11071913161466</v>
      </c>
    </row>
    <row r="18" spans="1:13" x14ac:dyDescent="0.2">
      <c r="A18" s="16">
        <v>45028</v>
      </c>
      <c r="B18" s="17" t="s">
        <v>10</v>
      </c>
      <c r="C18" s="18">
        <v>149145000</v>
      </c>
      <c r="D18" s="19">
        <f>+C18/E18</f>
        <v>815</v>
      </c>
      <c r="E18" s="20">
        <v>183000</v>
      </c>
      <c r="F18" s="21"/>
      <c r="H18" s="6">
        <v>45173</v>
      </c>
      <c r="I18" s="7" t="s">
        <v>38</v>
      </c>
      <c r="J18" s="10">
        <v>-71.08</v>
      </c>
      <c r="K18" s="9">
        <f t="shared" ref="K18:K31" si="4">+$K$14</f>
        <v>36.85</v>
      </c>
      <c r="L18" s="10">
        <f t="shared" si="3"/>
        <v>-1.928900949796472</v>
      </c>
    </row>
    <row r="19" spans="1:13" x14ac:dyDescent="0.2">
      <c r="A19" s="6">
        <v>45029</v>
      </c>
      <c r="B19" s="7" t="s">
        <v>2</v>
      </c>
      <c r="C19" s="8">
        <v>-2010622</v>
      </c>
      <c r="D19" s="9">
        <f>+D15</f>
        <v>809.4999896653834</v>
      </c>
      <c r="E19" s="10">
        <f>+C19/D19</f>
        <v>-2483.7826135502669</v>
      </c>
      <c r="H19" s="12">
        <v>45180</v>
      </c>
      <c r="I19" s="13" t="s">
        <v>49</v>
      </c>
      <c r="J19" s="14">
        <v>-1334.1</v>
      </c>
      <c r="K19" s="15">
        <f t="shared" si="4"/>
        <v>36.85</v>
      </c>
      <c r="L19" s="14">
        <f t="shared" si="3"/>
        <v>-36.203527815468107</v>
      </c>
      <c r="M19" s="25">
        <f>+M13+SUM(L14:L19)</f>
        <v>59.756852103122171</v>
      </c>
    </row>
    <row r="20" spans="1:13" x14ac:dyDescent="0.2">
      <c r="A20" s="6">
        <v>45029</v>
      </c>
      <c r="B20" s="7" t="s">
        <v>2</v>
      </c>
      <c r="C20" s="8">
        <f>-27660783-C19</f>
        <v>-25650161</v>
      </c>
      <c r="D20" s="9">
        <f t="shared" ref="D20:D26" si="5">+$D$18</f>
        <v>815</v>
      </c>
      <c r="E20" s="10">
        <f t="shared" ref="E20:E29" si="6">+C20/D20</f>
        <v>-31472.590184049081</v>
      </c>
      <c r="H20" s="26">
        <v>45200</v>
      </c>
      <c r="I20" s="27" t="s">
        <v>38</v>
      </c>
      <c r="J20" s="28">
        <v>-115</v>
      </c>
      <c r="K20" s="29">
        <f t="shared" si="4"/>
        <v>36.85</v>
      </c>
      <c r="L20" s="28">
        <f t="shared" si="3"/>
        <v>-3.1207598371777476</v>
      </c>
      <c r="M20" s="28">
        <f>+M19+L20</f>
        <v>56.63609226594442</v>
      </c>
    </row>
    <row r="21" spans="1:13" x14ac:dyDescent="0.2">
      <c r="A21" s="6">
        <v>45033</v>
      </c>
      <c r="B21" s="7" t="s">
        <v>4</v>
      </c>
      <c r="C21" s="8">
        <v>-948492</v>
      </c>
      <c r="D21" s="9">
        <f t="shared" si="5"/>
        <v>815</v>
      </c>
      <c r="E21" s="10">
        <f t="shared" si="6"/>
        <v>-1163.7938650306749</v>
      </c>
      <c r="H21" s="6">
        <v>45231</v>
      </c>
      <c r="I21" s="7" t="s">
        <v>38</v>
      </c>
      <c r="J21" s="10">
        <v>-115</v>
      </c>
      <c r="K21" s="9">
        <f t="shared" si="4"/>
        <v>36.85</v>
      </c>
      <c r="L21" s="10">
        <f t="shared" ref="L21:L30" si="7">+J21/K21</f>
        <v>-3.1207598371777476</v>
      </c>
      <c r="M21" s="10"/>
    </row>
    <row r="22" spans="1:13" x14ac:dyDescent="0.2">
      <c r="A22" s="6">
        <v>45033</v>
      </c>
      <c r="B22" s="7" t="s">
        <v>12</v>
      </c>
      <c r="C22" s="8">
        <v>-522269</v>
      </c>
      <c r="D22" s="9">
        <f t="shared" si="5"/>
        <v>815</v>
      </c>
      <c r="E22" s="10">
        <f t="shared" si="6"/>
        <v>-640.82085889570556</v>
      </c>
      <c r="H22" s="12">
        <v>45257</v>
      </c>
      <c r="I22" s="13" t="s">
        <v>38</v>
      </c>
      <c r="J22" s="14">
        <v>-1613.55</v>
      </c>
      <c r="K22" s="15">
        <f t="shared" si="4"/>
        <v>36.85</v>
      </c>
      <c r="L22" s="14">
        <f t="shared" si="7"/>
        <v>-43.786974219810041</v>
      </c>
      <c r="M22" s="14">
        <f>+M20+SUM(L21:L22)</f>
        <v>9.7283582089566281</v>
      </c>
    </row>
    <row r="23" spans="1:13" x14ac:dyDescent="0.2">
      <c r="A23" s="6">
        <v>45033</v>
      </c>
      <c r="B23" s="7" t="s">
        <v>13</v>
      </c>
      <c r="C23" s="8">
        <v>-66627802</v>
      </c>
      <c r="D23" s="9">
        <f t="shared" si="5"/>
        <v>815</v>
      </c>
      <c r="E23" s="10">
        <f t="shared" si="6"/>
        <v>-81751.904294478532</v>
      </c>
      <c r="H23" s="26">
        <v>45261</v>
      </c>
      <c r="I23" s="27" t="s">
        <v>38</v>
      </c>
      <c r="J23" s="28">
        <v>-115</v>
      </c>
      <c r="K23" s="29">
        <f t="shared" si="4"/>
        <v>36.85</v>
      </c>
      <c r="L23" s="28">
        <f t="shared" si="7"/>
        <v>-3.1207598371777476</v>
      </c>
      <c r="M23" s="28">
        <f>+M22+L23</f>
        <v>6.6075983717788809</v>
      </c>
    </row>
    <row r="24" spans="1:13" x14ac:dyDescent="0.2">
      <c r="A24" s="6">
        <v>45034</v>
      </c>
      <c r="B24" s="7" t="s">
        <v>14</v>
      </c>
      <c r="C24" s="8">
        <v>-88930</v>
      </c>
      <c r="D24" s="9">
        <f t="shared" si="5"/>
        <v>815</v>
      </c>
      <c r="E24" s="10">
        <f t="shared" si="6"/>
        <v>-109.11656441717791</v>
      </c>
      <c r="H24" s="26">
        <v>45292</v>
      </c>
      <c r="I24" s="27" t="s">
        <v>38</v>
      </c>
      <c r="J24" s="28">
        <v>-115</v>
      </c>
      <c r="K24" s="29">
        <f t="shared" si="4"/>
        <v>36.85</v>
      </c>
      <c r="L24" s="28">
        <f t="shared" si="7"/>
        <v>-3.1207598371777476</v>
      </c>
      <c r="M24" s="28">
        <f>+M23+L24</f>
        <v>3.4868385346011332</v>
      </c>
    </row>
    <row r="25" spans="1:13" x14ac:dyDescent="0.2">
      <c r="A25" s="6">
        <v>45034</v>
      </c>
      <c r="B25" s="7" t="s">
        <v>3</v>
      </c>
      <c r="C25" s="8">
        <v>-16897</v>
      </c>
      <c r="D25" s="9">
        <f t="shared" si="5"/>
        <v>815</v>
      </c>
      <c r="E25" s="10">
        <f t="shared" si="6"/>
        <v>-20.732515337423312</v>
      </c>
      <c r="K25" s="9">
        <f t="shared" si="4"/>
        <v>36.85</v>
      </c>
      <c r="L25" s="10">
        <f t="shared" si="7"/>
        <v>0</v>
      </c>
      <c r="M25" s="10"/>
    </row>
    <row r="26" spans="1:13" x14ac:dyDescent="0.2">
      <c r="A26" s="6">
        <v>45035</v>
      </c>
      <c r="B26" s="7" t="s">
        <v>15</v>
      </c>
      <c r="C26" s="8">
        <v>-406965</v>
      </c>
      <c r="D26" s="9">
        <f t="shared" si="5"/>
        <v>815</v>
      </c>
      <c r="E26" s="10">
        <f t="shared" si="6"/>
        <v>-499.34355828220856</v>
      </c>
      <c r="K26" s="9">
        <f t="shared" si="4"/>
        <v>36.85</v>
      </c>
      <c r="L26" s="10">
        <f t="shared" si="7"/>
        <v>0</v>
      </c>
      <c r="M26" s="10"/>
    </row>
    <row r="27" spans="1:13" x14ac:dyDescent="0.2">
      <c r="A27" s="6">
        <v>45041</v>
      </c>
      <c r="B27" s="7" t="s">
        <v>14</v>
      </c>
      <c r="C27" s="8">
        <v>-107629</v>
      </c>
      <c r="D27" s="9">
        <f>+D18</f>
        <v>815</v>
      </c>
      <c r="E27" s="10">
        <f t="shared" si="6"/>
        <v>-132.06012269938651</v>
      </c>
      <c r="K27" s="9">
        <f t="shared" si="4"/>
        <v>36.85</v>
      </c>
      <c r="L27" s="10">
        <f t="shared" si="7"/>
        <v>0</v>
      </c>
      <c r="M27" s="10"/>
    </row>
    <row r="28" spans="1:13" x14ac:dyDescent="0.2">
      <c r="A28" s="12">
        <v>45041</v>
      </c>
      <c r="B28" s="13" t="s">
        <v>14</v>
      </c>
      <c r="C28" s="22">
        <v>-107629</v>
      </c>
      <c r="D28" s="15">
        <f>+D18</f>
        <v>815</v>
      </c>
      <c r="E28" s="14">
        <f t="shared" si="6"/>
        <v>-132.06012269938651</v>
      </c>
      <c r="F28" s="23">
        <f>+F14+SUM(E15:E28)</f>
        <v>67077.577914110443</v>
      </c>
      <c r="G28" s="24"/>
      <c r="K28" s="9">
        <f t="shared" si="4"/>
        <v>36.85</v>
      </c>
      <c r="L28" s="10">
        <f t="shared" si="7"/>
        <v>0</v>
      </c>
      <c r="M28" s="10"/>
    </row>
    <row r="29" spans="1:13" x14ac:dyDescent="0.2">
      <c r="A29" s="6">
        <v>45051</v>
      </c>
      <c r="B29" s="7" t="s">
        <v>16</v>
      </c>
      <c r="C29" s="8">
        <v>-1926369</v>
      </c>
      <c r="D29" s="9">
        <f>+D18</f>
        <v>815</v>
      </c>
      <c r="E29" s="10">
        <f t="shared" si="6"/>
        <v>-2363.6429447852761</v>
      </c>
      <c r="G29" s="24"/>
      <c r="K29" s="9">
        <f t="shared" si="4"/>
        <v>36.85</v>
      </c>
      <c r="L29" s="10">
        <f t="shared" si="7"/>
        <v>0</v>
      </c>
      <c r="M29" s="10"/>
    </row>
    <row r="30" spans="1:13" x14ac:dyDescent="0.2">
      <c r="A30" s="6">
        <v>45055</v>
      </c>
      <c r="B30" s="7" t="s">
        <v>14</v>
      </c>
      <c r="C30" s="8">
        <f>-1432-89662</f>
        <v>-91094</v>
      </c>
      <c r="D30" s="9">
        <f t="shared" ref="D30:D50" si="8">+$D$18</f>
        <v>815</v>
      </c>
      <c r="E30" s="10">
        <f t="shared" ref="E30:E42" si="9">+C30/D30</f>
        <v>-111.77177914110429</v>
      </c>
      <c r="K30" s="9">
        <f t="shared" si="4"/>
        <v>36.85</v>
      </c>
      <c r="L30" s="10">
        <f t="shared" si="7"/>
        <v>0</v>
      </c>
      <c r="M30" s="10"/>
    </row>
    <row r="31" spans="1:13" x14ac:dyDescent="0.2">
      <c r="A31" s="6">
        <v>45055</v>
      </c>
      <c r="B31" s="7" t="s">
        <v>3</v>
      </c>
      <c r="C31" s="8">
        <f>-272-17036</f>
        <v>-17308</v>
      </c>
      <c r="D31" s="9">
        <f t="shared" si="8"/>
        <v>815</v>
      </c>
      <c r="E31" s="10">
        <f t="shared" si="9"/>
        <v>-21.23680981595092</v>
      </c>
      <c r="K31" s="9">
        <f t="shared" si="4"/>
        <v>36.85</v>
      </c>
      <c r="L31" s="10">
        <f>+J31/K31</f>
        <v>0</v>
      </c>
      <c r="M31" s="10"/>
    </row>
    <row r="32" spans="1:13" x14ac:dyDescent="0.2">
      <c r="A32" s="6">
        <v>45062</v>
      </c>
      <c r="B32" s="7" t="s">
        <v>4</v>
      </c>
      <c r="C32" s="8">
        <v>-2303790</v>
      </c>
      <c r="D32" s="9">
        <f t="shared" ref="D32" si="10">+D23</f>
        <v>815</v>
      </c>
      <c r="E32" s="10">
        <f t="shared" si="9"/>
        <v>-2826.7361963190183</v>
      </c>
      <c r="K32" s="9"/>
      <c r="M32" s="10"/>
    </row>
    <row r="33" spans="1:15" x14ac:dyDescent="0.2">
      <c r="A33" s="6">
        <v>45062</v>
      </c>
      <c r="B33" s="7" t="s">
        <v>17</v>
      </c>
      <c r="C33" s="8">
        <v>-2231607</v>
      </c>
      <c r="D33" s="9">
        <f t="shared" ref="D33" si="11">+D23</f>
        <v>815</v>
      </c>
      <c r="E33" s="10">
        <f t="shared" si="9"/>
        <v>-2738.1680981595091</v>
      </c>
      <c r="K33" s="9"/>
      <c r="M33" s="10"/>
    </row>
    <row r="34" spans="1:15" x14ac:dyDescent="0.2">
      <c r="A34" s="6">
        <v>45064</v>
      </c>
      <c r="B34" s="7" t="s">
        <v>15</v>
      </c>
      <c r="C34" s="8">
        <v>-707150</v>
      </c>
      <c r="D34" s="9">
        <f t="shared" ref="D34" si="12">+D23</f>
        <v>815</v>
      </c>
      <c r="E34" s="10">
        <f t="shared" si="9"/>
        <v>-867.6687116564417</v>
      </c>
      <c r="J34" s="10">
        <f>SUM(J3:J33)</f>
        <v>128.49000000002002</v>
      </c>
      <c r="K34" s="9"/>
      <c r="L34" s="10">
        <f>SUM(L3:L33)</f>
        <v>3.4868385346006927</v>
      </c>
      <c r="M34" s="10"/>
    </row>
    <row r="35" spans="1:15" x14ac:dyDescent="0.2">
      <c r="A35" s="6">
        <v>45064</v>
      </c>
      <c r="B35" s="7" t="s">
        <v>15</v>
      </c>
      <c r="C35" s="8">
        <v>-515245</v>
      </c>
      <c r="D35" s="9">
        <f t="shared" si="8"/>
        <v>815</v>
      </c>
      <c r="E35" s="10">
        <f t="shared" si="9"/>
        <v>-632.20245398773011</v>
      </c>
      <c r="K35" s="9"/>
      <c r="M35" s="10"/>
    </row>
    <row r="36" spans="1:15" x14ac:dyDescent="0.2">
      <c r="A36" s="6">
        <v>45069</v>
      </c>
      <c r="B36" s="7" t="s">
        <v>18</v>
      </c>
      <c r="C36" s="8">
        <v>-5093663</v>
      </c>
      <c r="D36" s="9">
        <f t="shared" si="8"/>
        <v>815</v>
      </c>
      <c r="E36" s="10">
        <f t="shared" si="9"/>
        <v>-6249.8932515337419</v>
      </c>
      <c r="K36" s="9"/>
      <c r="L36" s="31">
        <v>4813.6899999999996</v>
      </c>
      <c r="M36" s="10" t="s">
        <v>40</v>
      </c>
      <c r="N36" s="32"/>
    </row>
    <row r="37" spans="1:15" x14ac:dyDescent="0.2">
      <c r="A37" s="6">
        <v>45075</v>
      </c>
      <c r="B37" s="7" t="s">
        <v>19</v>
      </c>
      <c r="C37" s="8">
        <v>-210088</v>
      </c>
      <c r="D37" s="9">
        <f t="shared" si="8"/>
        <v>815</v>
      </c>
      <c r="E37" s="10">
        <f t="shared" si="9"/>
        <v>-257.7766871165644</v>
      </c>
      <c r="K37" s="9"/>
      <c r="M37" s="10"/>
      <c r="N37" s="32"/>
    </row>
    <row r="38" spans="1:15" x14ac:dyDescent="0.2">
      <c r="A38" s="12">
        <v>45075</v>
      </c>
      <c r="B38" s="13" t="s">
        <v>15</v>
      </c>
      <c r="C38" s="22">
        <v>-684959</v>
      </c>
      <c r="D38" s="15">
        <f t="shared" si="8"/>
        <v>815</v>
      </c>
      <c r="E38" s="14">
        <f t="shared" si="9"/>
        <v>-840.44049079754598</v>
      </c>
      <c r="F38" s="23">
        <f>+F28+SUM(E29:E38)</f>
        <v>50168.040490797561</v>
      </c>
      <c r="K38" s="9"/>
      <c r="L38" s="10">
        <f>SUM(L34:L36)</f>
        <v>4817.1768385346004</v>
      </c>
      <c r="M38" s="10"/>
      <c r="N38" s="32"/>
    </row>
    <row r="39" spans="1:15" x14ac:dyDescent="0.2">
      <c r="A39" s="6">
        <v>45084</v>
      </c>
      <c r="B39" s="7" t="s">
        <v>20</v>
      </c>
      <c r="C39" s="8">
        <v>-1097271</v>
      </c>
      <c r="D39" s="9">
        <f t="shared" si="8"/>
        <v>815</v>
      </c>
      <c r="E39" s="10">
        <f t="shared" si="9"/>
        <v>-1346.3447852760737</v>
      </c>
      <c r="K39" s="9"/>
      <c r="M39" s="10"/>
    </row>
    <row r="40" spans="1:15" x14ac:dyDescent="0.2">
      <c r="A40" s="6">
        <v>45086</v>
      </c>
      <c r="B40" s="7" t="s">
        <v>20</v>
      </c>
      <c r="C40" s="8">
        <f>-(7000000*2+416063)</f>
        <v>-14416063</v>
      </c>
      <c r="D40" s="9">
        <f t="shared" si="8"/>
        <v>815</v>
      </c>
      <c r="E40" s="10">
        <f t="shared" si="9"/>
        <v>-17688.420858895704</v>
      </c>
      <c r="K40" s="9"/>
      <c r="M40" s="10"/>
      <c r="N40" s="32"/>
      <c r="O40" s="32"/>
    </row>
    <row r="41" spans="1:15" x14ac:dyDescent="0.2">
      <c r="A41" s="6">
        <v>45092</v>
      </c>
      <c r="B41" s="7" t="s">
        <v>21</v>
      </c>
      <c r="C41" s="8">
        <v>-1159608</v>
      </c>
      <c r="D41" s="9">
        <f t="shared" si="8"/>
        <v>815</v>
      </c>
      <c r="E41" s="10">
        <f t="shared" si="9"/>
        <v>-1422.8319018404909</v>
      </c>
      <c r="K41" s="9"/>
      <c r="M41" s="10"/>
    </row>
    <row r="42" spans="1:15" x14ac:dyDescent="0.2">
      <c r="A42" s="6">
        <v>45092</v>
      </c>
      <c r="B42" s="7" t="s">
        <v>4</v>
      </c>
      <c r="C42" s="8">
        <v>-730449</v>
      </c>
      <c r="D42" s="9">
        <f t="shared" si="8"/>
        <v>815</v>
      </c>
      <c r="E42" s="10">
        <f t="shared" si="9"/>
        <v>-896.2564417177914</v>
      </c>
      <c r="K42" s="9"/>
      <c r="M42" s="10"/>
    </row>
    <row r="43" spans="1:15" x14ac:dyDescent="0.2">
      <c r="A43" s="6">
        <v>45092</v>
      </c>
      <c r="B43" s="7" t="s">
        <v>22</v>
      </c>
      <c r="C43" s="8">
        <v>-514552</v>
      </c>
      <c r="D43" s="9">
        <f t="shared" si="8"/>
        <v>815</v>
      </c>
      <c r="E43" s="10">
        <f t="shared" ref="E43:E50" si="13">+C43/D43</f>
        <v>-631.35214723926379</v>
      </c>
      <c r="K43" s="9"/>
      <c r="M43" s="10"/>
    </row>
    <row r="44" spans="1:15" x14ac:dyDescent="0.2">
      <c r="A44" s="6">
        <v>45093</v>
      </c>
      <c r="B44" s="7" t="s">
        <v>23</v>
      </c>
      <c r="C44" s="8">
        <v>-367096</v>
      </c>
      <c r="D44" s="9">
        <f t="shared" si="8"/>
        <v>815</v>
      </c>
      <c r="E44" s="10">
        <f t="shared" si="13"/>
        <v>-450.42453987730062</v>
      </c>
      <c r="K44" s="9"/>
      <c r="M44" s="10"/>
    </row>
    <row r="45" spans="1:15" x14ac:dyDescent="0.2">
      <c r="A45" s="6">
        <v>45093</v>
      </c>
      <c r="B45" s="7" t="s">
        <v>21</v>
      </c>
      <c r="C45" s="8">
        <f>-7000000*2-2587789</f>
        <v>-16587789</v>
      </c>
      <c r="D45" s="9">
        <f t="shared" si="8"/>
        <v>815</v>
      </c>
      <c r="E45" s="10">
        <f t="shared" si="13"/>
        <v>-20353.115337423314</v>
      </c>
      <c r="K45" s="9"/>
      <c r="M45" s="10"/>
    </row>
    <row r="46" spans="1:15" x14ac:dyDescent="0.2">
      <c r="A46" s="6">
        <v>45093</v>
      </c>
      <c r="B46" s="7" t="s">
        <v>24</v>
      </c>
      <c r="C46" s="8">
        <v>-1330000</v>
      </c>
      <c r="D46" s="9">
        <f t="shared" si="8"/>
        <v>815</v>
      </c>
      <c r="E46" s="10">
        <f t="shared" si="13"/>
        <v>-1631.9018404907974</v>
      </c>
      <c r="K46" s="9"/>
      <c r="M46" s="10"/>
    </row>
    <row r="47" spans="1:15" x14ac:dyDescent="0.2">
      <c r="A47" s="6">
        <v>45096</v>
      </c>
      <c r="B47" s="7" t="s">
        <v>23</v>
      </c>
      <c r="C47" s="8">
        <v>-367096</v>
      </c>
      <c r="D47" s="9">
        <f t="shared" si="8"/>
        <v>815</v>
      </c>
      <c r="E47" s="10">
        <f t="shared" si="13"/>
        <v>-450.42453987730062</v>
      </c>
      <c r="K47" s="9"/>
      <c r="M47" s="10"/>
    </row>
    <row r="48" spans="1:15" x14ac:dyDescent="0.2">
      <c r="A48" s="6">
        <v>45096</v>
      </c>
      <c r="B48" s="7" t="s">
        <v>25</v>
      </c>
      <c r="C48" s="33">
        <v>-119717</v>
      </c>
      <c r="D48" s="9">
        <f t="shared" si="8"/>
        <v>815</v>
      </c>
      <c r="E48" s="30">
        <f t="shared" si="13"/>
        <v>-146.8920245398773</v>
      </c>
      <c r="F48" s="34"/>
      <c r="K48" s="9"/>
      <c r="M48" s="10"/>
    </row>
    <row r="49" spans="1:18" x14ac:dyDescent="0.2">
      <c r="A49" s="16">
        <v>45104</v>
      </c>
      <c r="B49" s="17" t="s">
        <v>10</v>
      </c>
      <c r="C49" s="18">
        <v>15961000</v>
      </c>
      <c r="D49" s="19">
        <f>+C49/E49</f>
        <v>798.05</v>
      </c>
      <c r="E49" s="20">
        <v>20000</v>
      </c>
      <c r="F49" s="21"/>
      <c r="K49" s="9"/>
      <c r="M49" s="10"/>
    </row>
    <row r="50" spans="1:18" x14ac:dyDescent="0.2">
      <c r="A50" s="6">
        <v>45104</v>
      </c>
      <c r="B50" s="7" t="s">
        <v>26</v>
      </c>
      <c r="C50" s="8">
        <v>-4197312</v>
      </c>
      <c r="D50" s="9">
        <f t="shared" si="8"/>
        <v>815</v>
      </c>
      <c r="E50" s="10">
        <f t="shared" si="13"/>
        <v>-5150.0760736196316</v>
      </c>
      <c r="K50" s="9"/>
      <c r="M50" s="10"/>
    </row>
    <row r="51" spans="1:18" x14ac:dyDescent="0.2">
      <c r="A51" s="6">
        <v>45104</v>
      </c>
      <c r="B51" s="7" t="s">
        <v>26</v>
      </c>
      <c r="C51" s="8">
        <f>-(7000000+1323420)-C50</f>
        <v>-4126108</v>
      </c>
      <c r="D51" s="9">
        <f>+$D$49</f>
        <v>798.05</v>
      </c>
      <c r="E51" s="10">
        <f t="shared" ref="E51:E58" si="14">+C51/D51</f>
        <v>-5170.2374537936221</v>
      </c>
      <c r="K51" s="9"/>
      <c r="M51" s="10"/>
      <c r="N51" s="8"/>
      <c r="O51" s="8"/>
      <c r="P51" s="8"/>
      <c r="Q51" s="8"/>
    </row>
    <row r="52" spans="1:18" x14ac:dyDescent="0.2">
      <c r="A52" s="12">
        <v>45106</v>
      </c>
      <c r="B52" s="13" t="s">
        <v>23</v>
      </c>
      <c r="C52" s="22">
        <v>-1399894</v>
      </c>
      <c r="D52" s="15">
        <f t="shared" ref="D52:D65" si="15">+$D$49</f>
        <v>798.05</v>
      </c>
      <c r="E52" s="14">
        <f t="shared" si="14"/>
        <v>-1754.1432241087653</v>
      </c>
      <c r="F52" s="23">
        <f>+F38+SUM(E39:E52)</f>
        <v>13075.619322097627</v>
      </c>
      <c r="K52" s="9"/>
      <c r="M52" s="10"/>
      <c r="N52" s="8"/>
      <c r="O52" s="8"/>
      <c r="P52" s="8"/>
      <c r="Q52" s="8"/>
    </row>
    <row r="53" spans="1:18" x14ac:dyDescent="0.2">
      <c r="A53" s="6">
        <v>45112</v>
      </c>
      <c r="B53" s="7" t="s">
        <v>27</v>
      </c>
      <c r="C53" s="8">
        <v>-182337</v>
      </c>
      <c r="D53" s="9">
        <f t="shared" si="15"/>
        <v>798.05</v>
      </c>
      <c r="E53" s="10">
        <f t="shared" si="14"/>
        <v>-228.47816552847567</v>
      </c>
      <c r="K53" s="9"/>
      <c r="M53" s="10"/>
      <c r="N53" s="8"/>
      <c r="O53" s="8"/>
      <c r="P53" s="8"/>
      <c r="Q53" s="8"/>
    </row>
    <row r="54" spans="1:18" x14ac:dyDescent="0.2">
      <c r="A54" s="6">
        <v>45117</v>
      </c>
      <c r="B54" s="7" t="s">
        <v>25</v>
      </c>
      <c r="C54" s="8">
        <v>-121398</v>
      </c>
      <c r="D54" s="9">
        <f t="shared" si="15"/>
        <v>798.05</v>
      </c>
      <c r="E54" s="10">
        <f t="shared" si="14"/>
        <v>-152.11828832779901</v>
      </c>
      <c r="K54" s="9"/>
      <c r="M54" s="10"/>
      <c r="N54" s="8"/>
      <c r="O54" s="8"/>
      <c r="P54" s="8"/>
      <c r="Q54" s="8"/>
    </row>
    <row r="55" spans="1:18" x14ac:dyDescent="0.2">
      <c r="A55" s="6">
        <v>45117</v>
      </c>
      <c r="B55" s="7" t="s">
        <v>28</v>
      </c>
      <c r="C55" s="8">
        <v>-6760300</v>
      </c>
      <c r="D55" s="9">
        <f t="shared" si="15"/>
        <v>798.05</v>
      </c>
      <c r="E55" s="10">
        <f t="shared" si="14"/>
        <v>-8471.023118852203</v>
      </c>
      <c r="K55" s="9"/>
      <c r="M55" s="10"/>
      <c r="O55" s="8"/>
      <c r="P55" s="8"/>
      <c r="Q55" s="8"/>
    </row>
    <row r="56" spans="1:18" x14ac:dyDescent="0.2">
      <c r="A56" s="6">
        <v>45117</v>
      </c>
      <c r="B56" s="7" t="s">
        <v>29</v>
      </c>
      <c r="C56" s="8">
        <v>-265087</v>
      </c>
      <c r="D56" s="9">
        <f t="shared" si="15"/>
        <v>798.05</v>
      </c>
      <c r="E56" s="10">
        <f t="shared" si="14"/>
        <v>-332.1684105005952</v>
      </c>
      <c r="K56" s="9"/>
      <c r="M56" s="10"/>
      <c r="O56" s="8"/>
      <c r="P56" s="8"/>
      <c r="Q56" s="8"/>
    </row>
    <row r="57" spans="1:18" x14ac:dyDescent="0.2">
      <c r="A57" s="6">
        <v>45124</v>
      </c>
      <c r="B57" s="7" t="s">
        <v>30</v>
      </c>
      <c r="C57" s="8">
        <v>-232541</v>
      </c>
      <c r="D57" s="9">
        <f t="shared" si="15"/>
        <v>798.05</v>
      </c>
      <c r="E57" s="10">
        <f t="shared" si="14"/>
        <v>-291.38650460497462</v>
      </c>
      <c r="K57" s="9"/>
      <c r="M57" s="10"/>
      <c r="N57" s="8"/>
      <c r="O57" s="8"/>
      <c r="P57" s="8"/>
      <c r="Q57" s="8"/>
    </row>
    <row r="58" spans="1:18" x14ac:dyDescent="0.2">
      <c r="A58" s="6">
        <v>45124</v>
      </c>
      <c r="B58" s="7" t="s">
        <v>22</v>
      </c>
      <c r="C58" s="8">
        <v>-128845</v>
      </c>
      <c r="D58" s="9">
        <f t="shared" si="15"/>
        <v>798.05</v>
      </c>
      <c r="E58" s="10">
        <f t="shared" si="14"/>
        <v>-161.44978384812981</v>
      </c>
      <c r="K58" s="9"/>
      <c r="M58" s="10"/>
      <c r="N58" s="8"/>
      <c r="O58" s="8"/>
      <c r="P58" s="8"/>
      <c r="Q58" s="8"/>
    </row>
    <row r="59" spans="1:18" x14ac:dyDescent="0.2">
      <c r="A59" s="6">
        <v>45124</v>
      </c>
      <c r="B59" s="7" t="s">
        <v>4</v>
      </c>
      <c r="C59" s="8">
        <v>-721494</v>
      </c>
      <c r="D59" s="9">
        <f t="shared" si="15"/>
        <v>798.05</v>
      </c>
      <c r="E59" s="10">
        <f t="shared" ref="E59:E66" si="16">+C59/D59</f>
        <v>-904.07117348537065</v>
      </c>
      <c r="K59" s="9"/>
      <c r="M59" s="10"/>
      <c r="N59" s="8"/>
      <c r="O59" s="8"/>
      <c r="P59" s="8"/>
      <c r="Q59" s="8"/>
    </row>
    <row r="60" spans="1:18" x14ac:dyDescent="0.2">
      <c r="A60" s="6">
        <v>45126</v>
      </c>
      <c r="B60" s="7" t="s">
        <v>31</v>
      </c>
      <c r="C60" s="8">
        <v>-265965</v>
      </c>
      <c r="D60" s="9">
        <f t="shared" si="15"/>
        <v>798.05</v>
      </c>
      <c r="E60" s="10">
        <f t="shared" si="16"/>
        <v>-333.26859219347159</v>
      </c>
      <c r="K60" s="9"/>
      <c r="M60" s="10"/>
      <c r="N60" s="8"/>
      <c r="O60" s="8"/>
      <c r="P60" s="8"/>
      <c r="Q60" s="8"/>
    </row>
    <row r="61" spans="1:18" x14ac:dyDescent="0.2">
      <c r="A61" s="6">
        <v>45126</v>
      </c>
      <c r="B61" s="7" t="s">
        <v>24</v>
      </c>
      <c r="C61" s="8">
        <v>-600000</v>
      </c>
      <c r="D61" s="9">
        <f t="shared" si="15"/>
        <v>798.05</v>
      </c>
      <c r="E61" s="10">
        <f t="shared" si="16"/>
        <v>-751.83259194286074</v>
      </c>
      <c r="K61" s="9"/>
      <c r="M61" s="10"/>
      <c r="N61" s="8"/>
      <c r="O61" s="8"/>
      <c r="P61" s="8"/>
      <c r="Q61" s="8"/>
    </row>
    <row r="62" spans="1:18" x14ac:dyDescent="0.2">
      <c r="A62" s="6">
        <v>45126</v>
      </c>
      <c r="B62" s="7" t="s">
        <v>32</v>
      </c>
      <c r="C62" s="8">
        <v>-265824</v>
      </c>
      <c r="D62" s="9">
        <f t="shared" si="15"/>
        <v>798.05</v>
      </c>
      <c r="E62" s="10">
        <f t="shared" si="16"/>
        <v>-333.09191153436501</v>
      </c>
      <c r="K62" s="9"/>
      <c r="M62" s="10"/>
      <c r="N62" s="8"/>
      <c r="O62" s="8"/>
      <c r="P62" s="8"/>
      <c r="Q62" s="8"/>
      <c r="R62" s="32"/>
    </row>
    <row r="63" spans="1:18" x14ac:dyDescent="0.2">
      <c r="A63" s="6">
        <v>45128</v>
      </c>
      <c r="B63" s="7" t="s">
        <v>31</v>
      </c>
      <c r="C63" s="8">
        <v>-252000</v>
      </c>
      <c r="D63" s="9">
        <f t="shared" si="15"/>
        <v>798.05</v>
      </c>
      <c r="E63" s="10">
        <f t="shared" si="16"/>
        <v>-315.76968861600153</v>
      </c>
      <c r="K63" s="9"/>
      <c r="M63" s="10"/>
      <c r="N63" s="8"/>
      <c r="O63" s="8"/>
      <c r="P63" s="8"/>
      <c r="Q63" s="8"/>
      <c r="R63" s="32"/>
    </row>
    <row r="64" spans="1:18" x14ac:dyDescent="0.2">
      <c r="A64" s="16">
        <v>45132</v>
      </c>
      <c r="B64" s="17" t="s">
        <v>10</v>
      </c>
      <c r="C64" s="18">
        <v>10341250</v>
      </c>
      <c r="D64" s="19">
        <f>+C64/E64</f>
        <v>827.3</v>
      </c>
      <c r="E64" s="20">
        <v>12500</v>
      </c>
      <c r="F64" s="21"/>
      <c r="K64" s="9"/>
      <c r="M64" s="10"/>
      <c r="N64" s="8"/>
      <c r="O64" s="8"/>
      <c r="P64" s="8"/>
      <c r="Q64" s="8"/>
    </row>
    <row r="65" spans="1:17" x14ac:dyDescent="0.2">
      <c r="A65" s="6">
        <v>45132</v>
      </c>
      <c r="B65" s="7" t="s">
        <v>33</v>
      </c>
      <c r="C65" s="8">
        <v>-639207</v>
      </c>
      <c r="D65" s="9">
        <f t="shared" si="15"/>
        <v>798.05</v>
      </c>
      <c r="E65" s="10">
        <f t="shared" ref="E65" si="17">+C65/D65</f>
        <v>-800.96109266336703</v>
      </c>
      <c r="K65" s="9"/>
      <c r="M65" s="10"/>
      <c r="N65" s="8"/>
      <c r="O65" s="8"/>
      <c r="P65" s="8"/>
      <c r="Q65" s="8"/>
    </row>
    <row r="66" spans="1:17" x14ac:dyDescent="0.2">
      <c r="A66" s="6">
        <v>45132</v>
      </c>
      <c r="B66" s="7" t="s">
        <v>33</v>
      </c>
      <c r="C66" s="8">
        <f>-4769216-C65</f>
        <v>-4130009</v>
      </c>
      <c r="D66" s="9">
        <f>+$D$64</f>
        <v>827.3</v>
      </c>
      <c r="E66" s="10">
        <f t="shared" si="16"/>
        <v>-4992.1539949232447</v>
      </c>
      <c r="K66" s="9"/>
      <c r="M66" s="10"/>
      <c r="N66" s="8"/>
      <c r="O66" s="8"/>
      <c r="P66" s="8"/>
      <c r="Q66" s="8"/>
    </row>
    <row r="67" spans="1:17" x14ac:dyDescent="0.2">
      <c r="A67" s="6">
        <v>45132</v>
      </c>
      <c r="B67" s="7" t="s">
        <v>34</v>
      </c>
      <c r="C67" s="8">
        <v>-2468935</v>
      </c>
      <c r="D67" s="9">
        <f t="shared" ref="D67:D73" si="18">+$D$64</f>
        <v>827.3</v>
      </c>
      <c r="E67" s="10">
        <f t="shared" ref="E67:E73" si="19">+C67/D67</f>
        <v>-2984.3285386196062</v>
      </c>
      <c r="K67" s="9"/>
      <c r="M67" s="10"/>
      <c r="N67" s="8"/>
      <c r="O67" s="8"/>
      <c r="P67" s="8"/>
      <c r="Q67" s="8"/>
    </row>
    <row r="68" spans="1:17" x14ac:dyDescent="0.2">
      <c r="A68" s="6">
        <v>45134</v>
      </c>
      <c r="B68" s="7" t="s">
        <v>24</v>
      </c>
      <c r="C68" s="8">
        <v>-1000000</v>
      </c>
      <c r="D68" s="9">
        <f t="shared" si="18"/>
        <v>827.3</v>
      </c>
      <c r="E68" s="10">
        <f t="shared" si="19"/>
        <v>-1208.7513598452799</v>
      </c>
      <c r="K68" s="9"/>
      <c r="M68" s="10"/>
      <c r="N68" s="8"/>
      <c r="O68" s="8"/>
      <c r="P68" s="8"/>
      <c r="Q68" s="8"/>
    </row>
    <row r="69" spans="1:17" x14ac:dyDescent="0.2">
      <c r="A69" s="6">
        <v>45134</v>
      </c>
      <c r="B69" s="7" t="s">
        <v>23</v>
      </c>
      <c r="C69" s="8">
        <v>-932000</v>
      </c>
      <c r="D69" s="9">
        <f t="shared" si="18"/>
        <v>827.3</v>
      </c>
      <c r="E69" s="10">
        <f t="shared" si="19"/>
        <v>-1126.5562673758009</v>
      </c>
      <c r="K69" s="9"/>
      <c r="M69" s="10"/>
      <c r="N69" s="8"/>
      <c r="O69" s="8"/>
      <c r="P69" s="8"/>
      <c r="Q69" s="8"/>
    </row>
    <row r="70" spans="1:17" x14ac:dyDescent="0.2">
      <c r="A70" s="12">
        <v>45134</v>
      </c>
      <c r="B70" s="13" t="s">
        <v>30</v>
      </c>
      <c r="C70" s="22">
        <v>-128795</v>
      </c>
      <c r="D70" s="15">
        <f t="shared" si="18"/>
        <v>827.3</v>
      </c>
      <c r="E70" s="14">
        <f t="shared" si="19"/>
        <v>-155.68113139127283</v>
      </c>
      <c r="F70" s="23">
        <f>+F52+SUM(E53:E70)</f>
        <v>2032.5287078448091</v>
      </c>
      <c r="K70" s="9"/>
      <c r="M70" s="10"/>
      <c r="N70" s="8"/>
      <c r="O70" s="8"/>
      <c r="P70" s="8"/>
      <c r="Q70" s="8"/>
    </row>
    <row r="71" spans="1:17" x14ac:dyDescent="0.2">
      <c r="A71" s="6">
        <v>45140</v>
      </c>
      <c r="B71" s="7" t="s">
        <v>25</v>
      </c>
      <c r="C71" s="8">
        <v>-127211</v>
      </c>
      <c r="D71" s="9">
        <f t="shared" si="18"/>
        <v>827.3</v>
      </c>
      <c r="E71" s="10">
        <f t="shared" si="19"/>
        <v>-153.7664692372779</v>
      </c>
      <c r="K71" s="9"/>
      <c r="M71" s="10"/>
      <c r="N71" s="8"/>
      <c r="O71" s="8"/>
      <c r="P71" s="8"/>
      <c r="Q71" s="8"/>
    </row>
    <row r="72" spans="1:17" x14ac:dyDescent="0.2">
      <c r="A72" s="16">
        <v>45141</v>
      </c>
      <c r="B72" s="17" t="s">
        <v>10</v>
      </c>
      <c r="C72" s="18">
        <v>17949750</v>
      </c>
      <c r="D72" s="19">
        <f>+C72/E72</f>
        <v>854.75</v>
      </c>
      <c r="E72" s="20">
        <v>21000</v>
      </c>
      <c r="F72" s="21"/>
      <c r="K72" s="9"/>
      <c r="M72" s="10"/>
      <c r="N72" s="8"/>
      <c r="O72" s="8"/>
      <c r="P72" s="8"/>
      <c r="Q72" s="8"/>
    </row>
    <row r="73" spans="1:17" x14ac:dyDescent="0.2">
      <c r="A73" s="6">
        <v>45141</v>
      </c>
      <c r="B73" s="7" t="s">
        <v>41</v>
      </c>
      <c r="C73" s="8">
        <v>-1554300</v>
      </c>
      <c r="D73" s="9">
        <f t="shared" si="18"/>
        <v>827.3</v>
      </c>
      <c r="E73" s="10">
        <f t="shared" si="19"/>
        <v>-1878.7622386075186</v>
      </c>
      <c r="K73" s="9"/>
      <c r="M73" s="10"/>
      <c r="N73" s="8"/>
      <c r="O73" s="8"/>
      <c r="P73" s="8"/>
      <c r="Q73" s="8"/>
    </row>
    <row r="74" spans="1:17" x14ac:dyDescent="0.2">
      <c r="A74" s="6">
        <v>45141</v>
      </c>
      <c r="B74" s="7" t="s">
        <v>41</v>
      </c>
      <c r="C74" s="8">
        <f>-7000000*2-3588890-C73</f>
        <v>-16034590</v>
      </c>
      <c r="D74" s="9">
        <f>+$D$72</f>
        <v>854.75</v>
      </c>
      <c r="E74" s="10">
        <f t="shared" ref="E74:E83" si="20">+C74/D74</f>
        <v>-18759.391634980988</v>
      </c>
      <c r="K74" s="9"/>
      <c r="M74" s="10"/>
      <c r="N74" s="8"/>
      <c r="O74" s="8"/>
      <c r="P74" s="8"/>
      <c r="Q74" s="8"/>
    </row>
    <row r="75" spans="1:17" x14ac:dyDescent="0.2">
      <c r="A75" s="6">
        <v>45146</v>
      </c>
      <c r="B75" s="7" t="s">
        <v>42</v>
      </c>
      <c r="C75" s="8">
        <v>-605489</v>
      </c>
      <c r="D75" s="9">
        <f t="shared" ref="D75" si="21">+$D$72</f>
        <v>854.75</v>
      </c>
      <c r="E75" s="10">
        <f t="shared" ref="E75:E76" si="22">+C75/D75</f>
        <v>-708.38139806961101</v>
      </c>
      <c r="K75" s="9"/>
      <c r="M75" s="10"/>
      <c r="N75" s="8"/>
      <c r="O75" s="8"/>
      <c r="P75" s="8"/>
      <c r="Q75" s="8"/>
    </row>
    <row r="76" spans="1:17" x14ac:dyDescent="0.2">
      <c r="A76" s="6">
        <v>45146</v>
      </c>
      <c r="B76" s="7" t="s">
        <v>4</v>
      </c>
      <c r="C76" s="8">
        <v>-756621</v>
      </c>
      <c r="D76" s="9">
        <f>+$D$72</f>
        <v>854.75</v>
      </c>
      <c r="E76" s="10">
        <f t="shared" si="22"/>
        <v>-885.19567124890318</v>
      </c>
      <c r="K76" s="9"/>
      <c r="M76" s="10"/>
      <c r="N76" s="8"/>
      <c r="O76" s="8"/>
      <c r="P76" s="8"/>
      <c r="Q76" s="8"/>
    </row>
    <row r="77" spans="1:17" x14ac:dyDescent="0.2">
      <c r="A77" s="16">
        <v>45149</v>
      </c>
      <c r="B77" s="17" t="s">
        <v>10</v>
      </c>
      <c r="C77" s="18">
        <v>11085750</v>
      </c>
      <c r="D77" s="19">
        <f>+C77/E77</f>
        <v>852.75</v>
      </c>
      <c r="E77" s="20">
        <v>13000</v>
      </c>
      <c r="F77" s="21"/>
      <c r="K77" s="9"/>
      <c r="M77" s="10"/>
      <c r="N77" s="8"/>
      <c r="O77" s="8"/>
      <c r="P77" s="8"/>
      <c r="Q77" s="8"/>
    </row>
    <row r="78" spans="1:17" x14ac:dyDescent="0.2">
      <c r="A78" s="6">
        <v>45149</v>
      </c>
      <c r="B78" s="7" t="s">
        <v>2</v>
      </c>
      <c r="C78" s="8">
        <v>-553050</v>
      </c>
      <c r="D78" s="9">
        <f t="shared" ref="D78" si="23">+$D$72</f>
        <v>854.75</v>
      </c>
      <c r="E78" s="10">
        <f t="shared" si="20"/>
        <v>-647.03129570049725</v>
      </c>
      <c r="K78" s="9"/>
      <c r="M78" s="10"/>
      <c r="N78" s="8"/>
      <c r="O78" s="8"/>
      <c r="P78" s="8"/>
      <c r="Q78" s="8"/>
    </row>
    <row r="79" spans="1:17" x14ac:dyDescent="0.2">
      <c r="A79" s="6">
        <v>45149</v>
      </c>
      <c r="B79" s="7" t="s">
        <v>2</v>
      </c>
      <c r="C79" s="8">
        <f>-2500000-8356457-C78</f>
        <v>-10303407</v>
      </c>
      <c r="D79" s="9">
        <f>+$D$77</f>
        <v>852.75</v>
      </c>
      <c r="E79" s="10">
        <f t="shared" si="20"/>
        <v>-12082.564643799473</v>
      </c>
      <c r="K79" s="9"/>
      <c r="M79" s="10"/>
      <c r="N79" s="8"/>
      <c r="O79" s="8"/>
      <c r="P79" s="8"/>
      <c r="Q79" s="8"/>
    </row>
    <row r="80" spans="1:17" x14ac:dyDescent="0.2">
      <c r="A80" s="6">
        <v>45154</v>
      </c>
      <c r="B80" s="7" t="s">
        <v>43</v>
      </c>
      <c r="C80" s="8">
        <v>-275221</v>
      </c>
      <c r="D80" s="9">
        <f t="shared" ref="D80:D82" si="24">+$D$77</f>
        <v>852.75</v>
      </c>
      <c r="E80" s="10">
        <f t="shared" si="20"/>
        <v>-322.74523600117266</v>
      </c>
      <c r="K80" s="9"/>
      <c r="M80" s="10"/>
      <c r="N80" s="8"/>
      <c r="O80" s="8"/>
      <c r="P80" s="8"/>
      <c r="Q80" s="8"/>
    </row>
    <row r="81" spans="1:17" x14ac:dyDescent="0.2">
      <c r="A81" s="16">
        <v>45156</v>
      </c>
      <c r="B81" s="17" t="s">
        <v>10</v>
      </c>
      <c r="C81" s="18">
        <v>9532050</v>
      </c>
      <c r="D81" s="19">
        <f>+C81/E81</f>
        <v>866.55</v>
      </c>
      <c r="E81" s="20">
        <v>11000</v>
      </c>
      <c r="F81" s="21"/>
      <c r="K81" s="9"/>
      <c r="M81" s="10"/>
      <c r="N81" s="8"/>
      <c r="O81" s="8"/>
      <c r="P81" s="8"/>
      <c r="Q81" s="8"/>
    </row>
    <row r="82" spans="1:17" x14ac:dyDescent="0.2">
      <c r="A82" s="6">
        <v>45156</v>
      </c>
      <c r="B82" s="7" t="s">
        <v>44</v>
      </c>
      <c r="C82" s="8">
        <v>-507122</v>
      </c>
      <c r="D82" s="9">
        <f t="shared" si="24"/>
        <v>852.75</v>
      </c>
      <c r="E82" s="10">
        <f t="shared" si="20"/>
        <v>-594.69012019935508</v>
      </c>
      <c r="K82" s="9"/>
      <c r="M82" s="10"/>
      <c r="N82" s="8"/>
      <c r="O82" s="8"/>
    </row>
    <row r="83" spans="1:17" x14ac:dyDescent="0.2">
      <c r="A83" s="6">
        <v>45156</v>
      </c>
      <c r="B83" s="7" t="s">
        <v>44</v>
      </c>
      <c r="C83" s="8">
        <f>-(2054180+7000000)-C82</f>
        <v>-8547058</v>
      </c>
      <c r="D83" s="9">
        <f>+$D$81</f>
        <v>866.55</v>
      </c>
      <c r="E83" s="10">
        <f t="shared" si="20"/>
        <v>-9863.3177543130805</v>
      </c>
      <c r="G83" s="32"/>
      <c r="K83" s="9"/>
      <c r="M83" s="10"/>
      <c r="N83" s="8"/>
      <c r="O83" s="8"/>
    </row>
    <row r="84" spans="1:17" x14ac:dyDescent="0.2">
      <c r="A84" s="6">
        <v>45156</v>
      </c>
      <c r="B84" s="7" t="s">
        <v>24</v>
      </c>
      <c r="C84" s="8">
        <v>-250000</v>
      </c>
      <c r="D84" s="9">
        <f t="shared" ref="D84:D88" si="25">+$D$81</f>
        <v>866.55</v>
      </c>
      <c r="E84" s="10">
        <f t="shared" ref="E84:E89" si="26">+C84/D84</f>
        <v>-288.50037505048761</v>
      </c>
      <c r="K84" s="10"/>
      <c r="M84" s="10"/>
      <c r="N84" s="8"/>
      <c r="O84" s="8"/>
    </row>
    <row r="85" spans="1:17" x14ac:dyDescent="0.2">
      <c r="A85" s="6">
        <v>45162</v>
      </c>
      <c r="B85" s="7" t="s">
        <v>23</v>
      </c>
      <c r="C85" s="8">
        <v>-456000</v>
      </c>
      <c r="D85" s="9">
        <f t="shared" si="25"/>
        <v>866.55</v>
      </c>
      <c r="E85" s="10">
        <f t="shared" si="26"/>
        <v>-526.22468409208932</v>
      </c>
      <c r="K85" s="10"/>
      <c r="M85" s="10"/>
      <c r="N85" s="8"/>
      <c r="O85" s="8"/>
    </row>
    <row r="86" spans="1:17" x14ac:dyDescent="0.2">
      <c r="A86" s="6">
        <v>45167</v>
      </c>
      <c r="B86" s="7" t="s">
        <v>22</v>
      </c>
      <c r="C86" s="8">
        <v>-128753</v>
      </c>
      <c r="D86" s="9">
        <f t="shared" si="25"/>
        <v>866.55</v>
      </c>
      <c r="E86" s="10">
        <f t="shared" si="26"/>
        <v>-148.5811551555017</v>
      </c>
      <c r="K86" s="10"/>
      <c r="M86" s="10"/>
      <c r="N86" s="8"/>
      <c r="O86" s="8"/>
    </row>
    <row r="87" spans="1:17" x14ac:dyDescent="0.2">
      <c r="A87" s="16">
        <v>45168</v>
      </c>
      <c r="B87" s="17" t="s">
        <v>10</v>
      </c>
      <c r="C87" s="18">
        <v>3314220</v>
      </c>
      <c r="D87" s="19">
        <f>+C87/E87</f>
        <v>849.8</v>
      </c>
      <c r="E87" s="20">
        <v>3900</v>
      </c>
      <c r="F87" s="21"/>
      <c r="K87" s="10"/>
      <c r="M87" s="10"/>
      <c r="N87" s="8"/>
      <c r="O87" s="8"/>
      <c r="P87" s="8"/>
      <c r="Q87" s="8"/>
    </row>
    <row r="88" spans="1:17" x14ac:dyDescent="0.2">
      <c r="A88" s="6">
        <v>45168</v>
      </c>
      <c r="B88" s="7" t="s">
        <v>24</v>
      </c>
      <c r="C88" s="8">
        <v>-150239</v>
      </c>
      <c r="D88" s="9">
        <f t="shared" si="25"/>
        <v>866.55</v>
      </c>
      <c r="E88" s="10">
        <f t="shared" si="26"/>
        <v>-173.3760313888408</v>
      </c>
      <c r="K88" s="10"/>
      <c r="M88" s="10"/>
      <c r="N88" s="8"/>
      <c r="O88" s="8"/>
    </row>
    <row r="89" spans="1:17" x14ac:dyDescent="0.2">
      <c r="A89" s="12">
        <v>45168</v>
      </c>
      <c r="B89" s="13" t="s">
        <v>24</v>
      </c>
      <c r="C89" s="22">
        <f>-550000-C88</f>
        <v>-399761</v>
      </c>
      <c r="D89" s="15">
        <f>+$D$87</f>
        <v>849.8</v>
      </c>
      <c r="E89" s="14">
        <f t="shared" si="26"/>
        <v>-470.41774535184754</v>
      </c>
      <c r="F89" s="23">
        <f>+F70+SUM(E71:E89)</f>
        <v>3429.5822546481636</v>
      </c>
      <c r="I89" s="24"/>
      <c r="K89" s="10"/>
      <c r="M89" s="10"/>
      <c r="N89" s="8"/>
      <c r="O89" s="8"/>
    </row>
    <row r="90" spans="1:17" x14ac:dyDescent="0.2">
      <c r="A90" s="16">
        <v>45170</v>
      </c>
      <c r="B90" s="17" t="s">
        <v>10</v>
      </c>
      <c r="C90" s="18">
        <v>3228100</v>
      </c>
      <c r="D90" s="19">
        <f>+C90/E90</f>
        <v>849.5</v>
      </c>
      <c r="E90" s="20">
        <v>3800</v>
      </c>
      <c r="F90" s="21"/>
      <c r="K90" s="10"/>
      <c r="M90" s="10"/>
      <c r="N90" s="8"/>
      <c r="O90" s="8"/>
      <c r="P90" s="8"/>
      <c r="Q90" s="8"/>
    </row>
    <row r="91" spans="1:17" x14ac:dyDescent="0.2">
      <c r="A91" s="6">
        <v>45170</v>
      </c>
      <c r="B91" s="7" t="s">
        <v>45</v>
      </c>
      <c r="C91" s="8">
        <v>-1926048</v>
      </c>
      <c r="D91" s="9">
        <f t="shared" ref="D91:D92" si="27">+$D$87</f>
        <v>849.8</v>
      </c>
      <c r="E91" s="10">
        <f t="shared" ref="E91:E102" si="28">+C91/D91</f>
        <v>-2266.4721110849614</v>
      </c>
      <c r="K91" s="10"/>
      <c r="M91" s="10"/>
      <c r="N91" s="8"/>
      <c r="O91" s="8"/>
    </row>
    <row r="92" spans="1:17" x14ac:dyDescent="0.2">
      <c r="A92" s="6">
        <v>45170</v>
      </c>
      <c r="B92" s="7" t="s">
        <v>48</v>
      </c>
      <c r="C92" s="8">
        <v>-988411</v>
      </c>
      <c r="D92" s="9">
        <f t="shared" si="27"/>
        <v>849.8</v>
      </c>
      <c r="E92" s="10">
        <f t="shared" si="28"/>
        <v>-1163.1101435631915</v>
      </c>
      <c r="I92" s="10"/>
      <c r="K92" s="10"/>
      <c r="M92" s="10"/>
      <c r="N92" s="8"/>
      <c r="O92" s="8"/>
    </row>
    <row r="93" spans="1:17" x14ac:dyDescent="0.2">
      <c r="A93" s="6">
        <v>45170</v>
      </c>
      <c r="B93" s="7" t="s">
        <v>48</v>
      </c>
      <c r="C93" s="8">
        <f>-2369683-C92</f>
        <v>-1381272</v>
      </c>
      <c r="D93" s="9">
        <f>+$D$90</f>
        <v>849.5</v>
      </c>
      <c r="E93" s="10">
        <f t="shared" si="28"/>
        <v>-1625.9823425544439</v>
      </c>
      <c r="I93" s="10"/>
      <c r="K93" s="10"/>
      <c r="M93" s="10"/>
      <c r="N93" s="8"/>
      <c r="O93" s="8"/>
    </row>
    <row r="94" spans="1:17" x14ac:dyDescent="0.2">
      <c r="A94" s="6">
        <v>45170</v>
      </c>
      <c r="B94" s="7" t="s">
        <v>46</v>
      </c>
      <c r="C94" s="8">
        <v>-230800</v>
      </c>
      <c r="D94" s="9">
        <f t="shared" ref="D94:D101" si="29">+$D$90</f>
        <v>849.5</v>
      </c>
      <c r="E94" s="10">
        <f t="shared" si="28"/>
        <v>-271.68922895821072</v>
      </c>
      <c r="K94" s="10"/>
      <c r="M94" s="10"/>
      <c r="N94" s="8"/>
      <c r="O94" s="8"/>
    </row>
    <row r="95" spans="1:17" x14ac:dyDescent="0.2">
      <c r="A95" s="6">
        <v>45170</v>
      </c>
      <c r="B95" s="7" t="s">
        <v>23</v>
      </c>
      <c r="C95" s="8">
        <v>-1074000</v>
      </c>
      <c r="D95" s="9">
        <f t="shared" si="29"/>
        <v>849.5</v>
      </c>
      <c r="E95" s="10">
        <f t="shared" si="28"/>
        <v>-1264.2731018246027</v>
      </c>
      <c r="G95" s="24"/>
      <c r="I95" s="24"/>
      <c r="K95" s="10"/>
      <c r="M95" s="10"/>
      <c r="N95" s="8"/>
      <c r="O95" s="8"/>
    </row>
    <row r="96" spans="1:17" x14ac:dyDescent="0.2">
      <c r="A96" s="6">
        <v>45177</v>
      </c>
      <c r="B96" s="7" t="s">
        <v>46</v>
      </c>
      <c r="C96" s="8">
        <v>-200024</v>
      </c>
      <c r="D96" s="9">
        <f t="shared" si="29"/>
        <v>849.5</v>
      </c>
      <c r="E96" s="10">
        <f t="shared" si="28"/>
        <v>-235.46085932901707</v>
      </c>
      <c r="K96" s="10"/>
      <c r="M96" s="10"/>
      <c r="N96" s="8"/>
      <c r="O96" s="8"/>
    </row>
    <row r="97" spans="1:17" x14ac:dyDescent="0.2">
      <c r="A97" s="6">
        <v>45177</v>
      </c>
      <c r="B97" s="7" t="s">
        <v>14</v>
      </c>
      <c r="C97" s="8">
        <f>-72270-723</f>
        <v>-72993</v>
      </c>
      <c r="D97" s="9">
        <f t="shared" si="29"/>
        <v>849.5</v>
      </c>
      <c r="E97" s="10">
        <f t="shared" si="28"/>
        <v>-85.924661565626835</v>
      </c>
      <c r="K97" s="10"/>
      <c r="M97" s="10"/>
      <c r="N97" s="8"/>
      <c r="O97" s="8"/>
    </row>
    <row r="98" spans="1:17" x14ac:dyDescent="0.2">
      <c r="A98" s="6">
        <v>45177</v>
      </c>
      <c r="B98" s="7" t="s">
        <v>3</v>
      </c>
      <c r="C98" s="8">
        <f>-13731-137</f>
        <v>-13868</v>
      </c>
      <c r="D98" s="9">
        <f t="shared" si="29"/>
        <v>849.5</v>
      </c>
      <c r="E98" s="10">
        <f t="shared" si="28"/>
        <v>-16.324896998234255</v>
      </c>
      <c r="G98" s="24"/>
      <c r="K98" s="10"/>
      <c r="M98" s="10"/>
      <c r="N98" s="8"/>
      <c r="O98" s="8"/>
    </row>
    <row r="99" spans="1:17" x14ac:dyDescent="0.2">
      <c r="A99" s="6">
        <v>45182</v>
      </c>
      <c r="B99" s="7" t="s">
        <v>47</v>
      </c>
      <c r="C99" s="8">
        <v>-215605</v>
      </c>
      <c r="D99" s="9">
        <f t="shared" si="29"/>
        <v>849.5</v>
      </c>
      <c r="E99" s="10">
        <f t="shared" si="28"/>
        <v>-253.80223660977046</v>
      </c>
      <c r="I99" s="24"/>
      <c r="K99" s="10"/>
      <c r="M99" s="10"/>
      <c r="N99" s="8"/>
      <c r="O99" s="8"/>
    </row>
    <row r="100" spans="1:17" x14ac:dyDescent="0.2">
      <c r="A100" s="16">
        <v>45189</v>
      </c>
      <c r="B100" s="17" t="s">
        <v>10</v>
      </c>
      <c r="C100" s="18">
        <v>966405</v>
      </c>
      <c r="D100" s="19">
        <f>+C100/E100</f>
        <v>878.55</v>
      </c>
      <c r="E100" s="20">
        <v>1100</v>
      </c>
      <c r="F100" s="21"/>
      <c r="K100" s="10"/>
      <c r="M100" s="10"/>
      <c r="N100" s="8"/>
      <c r="O100" s="8"/>
      <c r="P100" s="8"/>
      <c r="Q100" s="8"/>
    </row>
    <row r="101" spans="1:17" x14ac:dyDescent="0.2">
      <c r="A101" s="6">
        <v>45189</v>
      </c>
      <c r="B101" s="7" t="s">
        <v>50</v>
      </c>
      <c r="C101" s="8">
        <v>-39538</v>
      </c>
      <c r="D101" s="9">
        <f t="shared" si="29"/>
        <v>849.5</v>
      </c>
      <c r="E101" s="10">
        <f t="shared" si="28"/>
        <v>-46.54267216009417</v>
      </c>
      <c r="I101" s="35"/>
      <c r="K101" s="10"/>
      <c r="M101" s="10"/>
      <c r="N101" s="8"/>
      <c r="O101" s="8"/>
    </row>
    <row r="102" spans="1:17" x14ac:dyDescent="0.2">
      <c r="A102" s="6">
        <v>45189</v>
      </c>
      <c r="B102" s="7" t="s">
        <v>50</v>
      </c>
      <c r="C102" s="8">
        <f>-79730-C101</f>
        <v>-40192</v>
      </c>
      <c r="D102" s="9">
        <f>+$D$100</f>
        <v>878.55</v>
      </c>
      <c r="E102" s="10">
        <f t="shared" si="28"/>
        <v>-45.748107677423029</v>
      </c>
      <c r="I102" s="35"/>
      <c r="K102" s="10"/>
      <c r="M102" s="10"/>
      <c r="N102" s="8"/>
      <c r="O102" s="8"/>
    </row>
    <row r="103" spans="1:17" x14ac:dyDescent="0.2">
      <c r="A103" s="6">
        <v>45189</v>
      </c>
      <c r="B103" s="7" t="s">
        <v>4</v>
      </c>
      <c r="C103" s="8">
        <v>-768474</v>
      </c>
      <c r="D103" s="9">
        <f t="shared" ref="D103:D105" si="30">+$D$100</f>
        <v>878.55</v>
      </c>
      <c r="E103" s="10">
        <f t="shared" ref="E103:E111" si="31">+C103/D103</f>
        <v>-874.7071879801947</v>
      </c>
      <c r="I103" s="35"/>
      <c r="K103" s="10"/>
      <c r="M103" s="10"/>
      <c r="N103" s="8"/>
      <c r="O103" s="8"/>
    </row>
    <row r="104" spans="1:17" x14ac:dyDescent="0.2">
      <c r="A104" s="16">
        <v>45191</v>
      </c>
      <c r="B104" s="17" t="s">
        <v>10</v>
      </c>
      <c r="C104" s="18">
        <v>8862000</v>
      </c>
      <c r="D104" s="19">
        <f>+C104/E104</f>
        <v>886.2</v>
      </c>
      <c r="E104" s="20">
        <v>10000</v>
      </c>
      <c r="F104" s="21"/>
      <c r="I104" s="35"/>
      <c r="K104" s="10"/>
      <c r="M104" s="10"/>
      <c r="N104" s="8"/>
      <c r="O104" s="8"/>
      <c r="P104" s="8"/>
      <c r="Q104" s="8"/>
    </row>
    <row r="105" spans="1:17" x14ac:dyDescent="0.2">
      <c r="A105" s="6">
        <v>45191</v>
      </c>
      <c r="B105" s="7" t="s">
        <v>55</v>
      </c>
      <c r="C105" s="36">
        <v>-157739</v>
      </c>
      <c r="D105" s="9">
        <f t="shared" si="30"/>
        <v>878.55</v>
      </c>
      <c r="E105" s="11">
        <f t="shared" si="31"/>
        <v>-179.54470434238235</v>
      </c>
      <c r="I105" s="35"/>
      <c r="K105" s="10"/>
      <c r="M105" s="10"/>
      <c r="N105" s="8"/>
      <c r="O105" s="8"/>
    </row>
    <row r="106" spans="1:17" x14ac:dyDescent="0.2">
      <c r="A106" s="6">
        <v>45191</v>
      </c>
      <c r="B106" s="7" t="s">
        <v>55</v>
      </c>
      <c r="C106" s="36">
        <f>-3742926-C105</f>
        <v>-3585187</v>
      </c>
      <c r="D106" s="9">
        <f>+$D$104</f>
        <v>886.2</v>
      </c>
      <c r="E106" s="11">
        <f t="shared" si="31"/>
        <v>-4045.5732340329496</v>
      </c>
      <c r="I106" s="35"/>
      <c r="K106" s="10"/>
      <c r="M106" s="10"/>
      <c r="N106" s="8"/>
      <c r="O106" s="8"/>
    </row>
    <row r="107" spans="1:17" x14ac:dyDescent="0.2">
      <c r="A107" s="6">
        <v>45191</v>
      </c>
      <c r="B107" s="7" t="s">
        <v>2</v>
      </c>
      <c r="C107" s="8">
        <v>-4956154</v>
      </c>
      <c r="D107" s="9">
        <f t="shared" ref="D107:D111" si="32">+$D$104</f>
        <v>886.2</v>
      </c>
      <c r="E107" s="10">
        <f t="shared" si="31"/>
        <v>-5592.5908372827798</v>
      </c>
      <c r="I107" s="35"/>
      <c r="K107" s="10"/>
      <c r="M107" s="10"/>
      <c r="N107" s="8"/>
      <c r="O107" s="8"/>
    </row>
    <row r="108" spans="1:17" x14ac:dyDescent="0.2">
      <c r="A108" s="12">
        <v>45196</v>
      </c>
      <c r="B108" s="13" t="s">
        <v>56</v>
      </c>
      <c r="C108" s="22">
        <v>230000</v>
      </c>
      <c r="D108" s="15">
        <f t="shared" si="32"/>
        <v>886.2</v>
      </c>
      <c r="E108" s="14">
        <f t="shared" si="31"/>
        <v>259.53509365831638</v>
      </c>
      <c r="F108" s="23">
        <f>+F89+SUM(E90:E108)</f>
        <v>621.37102234259737</v>
      </c>
      <c r="I108" s="35"/>
      <c r="K108" s="10"/>
      <c r="M108" s="10"/>
      <c r="N108" s="8"/>
      <c r="O108" s="8"/>
    </row>
    <row r="109" spans="1:17" x14ac:dyDescent="0.2">
      <c r="A109" s="6">
        <v>45209</v>
      </c>
      <c r="B109" s="7" t="s">
        <v>14</v>
      </c>
      <c r="C109" s="36">
        <f>-90500-17195</f>
        <v>-107695</v>
      </c>
      <c r="D109" s="9">
        <f t="shared" si="32"/>
        <v>886.2</v>
      </c>
      <c r="E109" s="37">
        <f t="shared" si="31"/>
        <v>-121.52448657187993</v>
      </c>
      <c r="I109" s="35"/>
      <c r="K109" s="10"/>
      <c r="M109" s="10"/>
      <c r="N109" s="8"/>
      <c r="O109" s="8"/>
    </row>
    <row r="110" spans="1:17" x14ac:dyDescent="0.2">
      <c r="A110" s="16">
        <v>45210</v>
      </c>
      <c r="B110" s="17" t="s">
        <v>10</v>
      </c>
      <c r="C110" s="18">
        <v>8280000</v>
      </c>
      <c r="D110" s="19">
        <f>+C110/E110</f>
        <v>920</v>
      </c>
      <c r="E110" s="20">
        <v>9000</v>
      </c>
      <c r="I110" s="35"/>
      <c r="K110" s="10"/>
      <c r="M110" s="10"/>
      <c r="N110" s="8"/>
      <c r="O110" s="8"/>
    </row>
    <row r="111" spans="1:17" x14ac:dyDescent="0.2">
      <c r="A111" s="6">
        <v>45210</v>
      </c>
      <c r="B111" s="7" t="s">
        <v>56</v>
      </c>
      <c r="C111" s="36">
        <v>-442964</v>
      </c>
      <c r="D111" s="9">
        <f t="shared" si="32"/>
        <v>886.2</v>
      </c>
      <c r="E111" s="37">
        <f t="shared" si="31"/>
        <v>-499.84653577070634</v>
      </c>
      <c r="G111" s="32"/>
      <c r="I111" s="35"/>
      <c r="K111" s="10"/>
      <c r="M111" s="10"/>
      <c r="N111" s="8"/>
      <c r="O111" s="8"/>
    </row>
    <row r="112" spans="1:17" x14ac:dyDescent="0.2">
      <c r="A112" s="6">
        <v>45210</v>
      </c>
      <c r="B112" s="7" t="s">
        <v>56</v>
      </c>
      <c r="C112" s="36">
        <f>-2150000-C111</f>
        <v>-1707036</v>
      </c>
      <c r="D112" s="9">
        <f>+$D$110</f>
        <v>920</v>
      </c>
      <c r="E112" s="37">
        <f t="shared" ref="E112:E122" si="33">+C112/D112</f>
        <v>-1855.4739130434782</v>
      </c>
      <c r="G112" s="24"/>
      <c r="I112" s="35"/>
      <c r="K112" s="10"/>
      <c r="M112" s="10"/>
      <c r="N112" s="8"/>
      <c r="O112" s="8"/>
    </row>
    <row r="113" spans="1:15" x14ac:dyDescent="0.2">
      <c r="A113" s="6">
        <v>45210</v>
      </c>
      <c r="B113" s="7" t="s">
        <v>23</v>
      </c>
      <c r="C113" s="36">
        <v>-3221976</v>
      </c>
      <c r="D113" s="9">
        <f t="shared" ref="D113:D118" si="34">+$D$110</f>
        <v>920</v>
      </c>
      <c r="E113" s="37">
        <f t="shared" si="33"/>
        <v>-3502.1478260869567</v>
      </c>
      <c r="I113" s="35"/>
      <c r="K113" s="10"/>
      <c r="M113" s="10"/>
      <c r="N113" s="8"/>
      <c r="O113" s="8"/>
    </row>
    <row r="114" spans="1:15" x14ac:dyDescent="0.2">
      <c r="A114" s="6">
        <v>45210</v>
      </c>
      <c r="B114" s="7" t="s">
        <v>57</v>
      </c>
      <c r="C114" s="36">
        <v>-685371</v>
      </c>
      <c r="D114" s="9">
        <f t="shared" si="34"/>
        <v>920</v>
      </c>
      <c r="E114" s="37">
        <f t="shared" si="33"/>
        <v>-744.96847826086957</v>
      </c>
      <c r="G114" s="24"/>
      <c r="I114" s="35"/>
      <c r="K114" s="10"/>
      <c r="M114" s="10"/>
      <c r="N114" s="8"/>
      <c r="O114" s="8"/>
    </row>
    <row r="115" spans="1:15" x14ac:dyDescent="0.2">
      <c r="A115" s="6">
        <v>45210</v>
      </c>
      <c r="B115" s="7" t="s">
        <v>22</v>
      </c>
      <c r="C115" s="36">
        <v>-20550</v>
      </c>
      <c r="D115" s="9">
        <f t="shared" si="34"/>
        <v>920</v>
      </c>
      <c r="E115" s="37">
        <f t="shared" si="33"/>
        <v>-22.336956521739129</v>
      </c>
      <c r="I115" s="35"/>
      <c r="K115" s="10"/>
      <c r="M115" s="10"/>
      <c r="N115" s="8"/>
      <c r="O115" s="8"/>
    </row>
    <row r="116" spans="1:15" x14ac:dyDescent="0.2">
      <c r="A116" s="6">
        <v>45210</v>
      </c>
      <c r="B116" s="7" t="s">
        <v>58</v>
      </c>
      <c r="C116" s="36">
        <v>-2301486</v>
      </c>
      <c r="D116" s="9">
        <f t="shared" si="34"/>
        <v>920</v>
      </c>
      <c r="E116" s="37">
        <f t="shared" si="33"/>
        <v>-2501.6152173913042</v>
      </c>
      <c r="I116" s="35"/>
      <c r="K116" s="10"/>
      <c r="M116" s="10"/>
      <c r="N116" s="8"/>
      <c r="O116" s="8"/>
    </row>
    <row r="117" spans="1:15" x14ac:dyDescent="0.2">
      <c r="A117" s="16">
        <v>45211</v>
      </c>
      <c r="B117" s="17" t="s">
        <v>10</v>
      </c>
      <c r="C117" s="18">
        <v>929700</v>
      </c>
      <c r="D117" s="19">
        <f>+C117/E117</f>
        <v>929.7</v>
      </c>
      <c r="E117" s="20">
        <v>1000</v>
      </c>
      <c r="I117" s="35"/>
      <c r="K117" s="10"/>
      <c r="M117" s="10"/>
      <c r="N117" s="8"/>
      <c r="O117" s="8"/>
    </row>
    <row r="118" spans="1:15" x14ac:dyDescent="0.2">
      <c r="A118" s="6">
        <v>45211</v>
      </c>
      <c r="B118" s="7" t="s">
        <v>59</v>
      </c>
      <c r="C118" s="36">
        <v>-343581</v>
      </c>
      <c r="D118" s="9">
        <f t="shared" si="34"/>
        <v>920</v>
      </c>
      <c r="E118" s="37">
        <f t="shared" si="33"/>
        <v>-373.4576086956522</v>
      </c>
      <c r="I118" s="35"/>
      <c r="K118" s="10"/>
      <c r="M118" s="10"/>
      <c r="N118" s="8"/>
      <c r="O118" s="8"/>
    </row>
    <row r="119" spans="1:15" x14ac:dyDescent="0.2">
      <c r="A119" s="6">
        <v>45211</v>
      </c>
      <c r="B119" s="7" t="s">
        <v>59</v>
      </c>
      <c r="C119" s="36">
        <f>-923537-C118</f>
        <v>-579956</v>
      </c>
      <c r="D119" s="9">
        <f>+$D$117</f>
        <v>929.7</v>
      </c>
      <c r="E119" s="37">
        <f t="shared" si="33"/>
        <v>-623.80983112832098</v>
      </c>
      <c r="I119" s="35"/>
      <c r="K119" s="10"/>
      <c r="M119" s="10"/>
      <c r="N119" s="8"/>
      <c r="O119" s="8"/>
    </row>
    <row r="120" spans="1:15" x14ac:dyDescent="0.2">
      <c r="A120" s="16">
        <v>45216</v>
      </c>
      <c r="B120" s="17" t="s">
        <v>10</v>
      </c>
      <c r="C120" s="18">
        <v>420930</v>
      </c>
      <c r="D120" s="19">
        <f>+C120/E120</f>
        <v>935.4</v>
      </c>
      <c r="E120" s="20">
        <v>450</v>
      </c>
      <c r="I120" s="35"/>
      <c r="K120" s="10"/>
      <c r="M120" s="10"/>
      <c r="N120" s="8"/>
      <c r="O120" s="8"/>
    </row>
    <row r="121" spans="1:15" x14ac:dyDescent="0.2">
      <c r="A121" s="6">
        <v>45216</v>
      </c>
      <c r="B121" s="7" t="s">
        <v>60</v>
      </c>
      <c r="C121" s="36">
        <v>-349744</v>
      </c>
      <c r="D121" s="9">
        <f t="shared" ref="D121" si="35">+$D$117</f>
        <v>929.7</v>
      </c>
      <c r="E121" s="37">
        <f t="shared" si="33"/>
        <v>-376.19016887167902</v>
      </c>
      <c r="I121" s="35"/>
      <c r="K121" s="10"/>
      <c r="M121" s="10"/>
      <c r="N121" s="8"/>
      <c r="O121" s="8"/>
    </row>
    <row r="122" spans="1:15" x14ac:dyDescent="0.2">
      <c r="A122" s="6">
        <v>45216</v>
      </c>
      <c r="B122" s="7" t="s">
        <v>60</v>
      </c>
      <c r="C122" s="36">
        <f>-631533-C121</f>
        <v>-281789</v>
      </c>
      <c r="D122" s="9">
        <f>+$D$120</f>
        <v>935.4</v>
      </c>
      <c r="E122" s="37">
        <f t="shared" si="33"/>
        <v>-301.24973273465895</v>
      </c>
      <c r="G122" s="24"/>
      <c r="I122" s="35"/>
      <c r="K122" s="10"/>
      <c r="M122" s="10"/>
      <c r="N122" s="8"/>
      <c r="O122" s="8"/>
    </row>
    <row r="123" spans="1:15" x14ac:dyDescent="0.2">
      <c r="A123" s="16">
        <v>45218</v>
      </c>
      <c r="B123" s="17" t="s">
        <v>10</v>
      </c>
      <c r="C123" s="18">
        <v>450000</v>
      </c>
      <c r="D123" s="19">
        <f>+C123/E123</f>
        <v>936.40752455468623</v>
      </c>
      <c r="E123" s="20">
        <v>480.56</v>
      </c>
      <c r="I123" s="35"/>
      <c r="K123" s="10"/>
      <c r="M123" s="10"/>
      <c r="N123" s="8"/>
      <c r="O123" s="8"/>
    </row>
    <row r="124" spans="1:15" x14ac:dyDescent="0.2">
      <c r="A124" s="6">
        <v>45218</v>
      </c>
      <c r="B124" s="7" t="s">
        <v>61</v>
      </c>
      <c r="C124" s="36">
        <v>-139141</v>
      </c>
      <c r="D124" s="9">
        <f t="shared" ref="D124" si="36">+$D$120</f>
        <v>935.4</v>
      </c>
      <c r="E124" s="37">
        <f t="shared" ref="E124:E132" si="37">+C124/D124</f>
        <v>-148.75026726534102</v>
      </c>
      <c r="I124" s="35"/>
      <c r="K124" s="10"/>
      <c r="M124" s="10"/>
      <c r="N124" s="8"/>
      <c r="O124" s="8"/>
    </row>
    <row r="125" spans="1:15" x14ac:dyDescent="0.2">
      <c r="A125" s="6">
        <v>45218</v>
      </c>
      <c r="B125" s="7" t="s">
        <v>61</v>
      </c>
      <c r="C125" s="36">
        <f>-400611-C124</f>
        <v>-261470</v>
      </c>
      <c r="D125" s="9">
        <f>+D123</f>
        <v>936.40752455468623</v>
      </c>
      <c r="E125" s="37">
        <f t="shared" si="37"/>
        <v>-279.22671822222219</v>
      </c>
      <c r="G125" s="24"/>
      <c r="I125" s="35"/>
      <c r="K125" s="10"/>
      <c r="M125" s="10"/>
      <c r="N125" s="8"/>
      <c r="O125" s="8"/>
    </row>
    <row r="126" spans="1:15" x14ac:dyDescent="0.2">
      <c r="A126" s="16">
        <v>45219</v>
      </c>
      <c r="B126" s="17" t="s">
        <v>10</v>
      </c>
      <c r="C126" s="18">
        <v>2154755</v>
      </c>
      <c r="D126" s="19">
        <f>+C126/E126</f>
        <v>936.85</v>
      </c>
      <c r="E126" s="20">
        <v>2300</v>
      </c>
      <c r="I126" s="35"/>
      <c r="K126" s="10"/>
      <c r="M126" s="10"/>
      <c r="N126" s="8"/>
      <c r="O126" s="8"/>
    </row>
    <row r="127" spans="1:15" x14ac:dyDescent="0.2">
      <c r="A127" s="6">
        <v>45219</v>
      </c>
      <c r="B127" s="7" t="s">
        <v>62</v>
      </c>
      <c r="C127" s="36">
        <v>-188530</v>
      </c>
      <c r="D127" s="9">
        <f>+D123</f>
        <v>936.40752455468623</v>
      </c>
      <c r="E127" s="37">
        <f t="shared" si="37"/>
        <v>-201.33328177777776</v>
      </c>
      <c r="I127" s="35"/>
      <c r="K127" s="10"/>
      <c r="M127" s="10"/>
      <c r="N127" s="8"/>
      <c r="O127" s="8"/>
    </row>
    <row r="128" spans="1:15" x14ac:dyDescent="0.2">
      <c r="A128" s="6">
        <v>45219</v>
      </c>
      <c r="B128" s="7" t="s">
        <v>62</v>
      </c>
      <c r="C128" s="36">
        <f>-1696013-C127</f>
        <v>-1507483</v>
      </c>
      <c r="D128" s="9">
        <f>+D126</f>
        <v>936.85</v>
      </c>
      <c r="E128" s="37">
        <f t="shared" si="37"/>
        <v>-1609.097507605273</v>
      </c>
      <c r="G128" s="32"/>
      <c r="I128" s="35"/>
      <c r="K128" s="10"/>
      <c r="M128" s="10"/>
      <c r="N128" s="8"/>
      <c r="O128" s="8"/>
    </row>
    <row r="129" spans="1:15" x14ac:dyDescent="0.2">
      <c r="A129" s="6">
        <v>45219</v>
      </c>
      <c r="B129" s="7" t="s">
        <v>63</v>
      </c>
      <c r="C129" s="36">
        <v>-331814</v>
      </c>
      <c r="D129" s="9">
        <f>+D126</f>
        <v>936.85</v>
      </c>
      <c r="E129" s="37">
        <f t="shared" si="37"/>
        <v>-354.18049847894537</v>
      </c>
      <c r="I129" s="35"/>
      <c r="K129" s="10"/>
      <c r="M129" s="10"/>
      <c r="N129" s="8"/>
      <c r="O129" s="8"/>
    </row>
    <row r="130" spans="1:15" x14ac:dyDescent="0.2">
      <c r="A130" s="16">
        <v>45222</v>
      </c>
      <c r="B130" s="17" t="s">
        <v>10</v>
      </c>
      <c r="C130" s="18">
        <v>139755</v>
      </c>
      <c r="D130" s="19">
        <f>+C130/E130</f>
        <v>931.7</v>
      </c>
      <c r="E130" s="20">
        <v>150</v>
      </c>
      <c r="I130" s="35"/>
      <c r="K130" s="10"/>
      <c r="M130" s="10"/>
      <c r="N130" s="8"/>
      <c r="O130" s="8"/>
    </row>
    <row r="131" spans="1:15" x14ac:dyDescent="0.2">
      <c r="A131" s="6">
        <v>45222</v>
      </c>
      <c r="B131" s="7" t="s">
        <v>64</v>
      </c>
      <c r="C131" s="36">
        <v>-315458</v>
      </c>
      <c r="D131" s="9">
        <f>+D126</f>
        <v>936.85</v>
      </c>
      <c r="E131" s="37">
        <f t="shared" si="37"/>
        <v>-336.72199391578158</v>
      </c>
      <c r="G131" s="24"/>
      <c r="I131" s="35"/>
      <c r="K131" s="10"/>
      <c r="M131" s="10"/>
      <c r="N131" s="8"/>
      <c r="O131" s="8"/>
    </row>
    <row r="132" spans="1:15" x14ac:dyDescent="0.2">
      <c r="A132" s="6">
        <v>45222</v>
      </c>
      <c r="B132" s="7" t="s">
        <v>64</v>
      </c>
      <c r="C132" s="36">
        <f>-342720-C131</f>
        <v>-27262</v>
      </c>
      <c r="D132" s="9">
        <f>+$D$130</f>
        <v>931.7</v>
      </c>
      <c r="E132" s="37">
        <f t="shared" si="37"/>
        <v>-29.26049157454116</v>
      </c>
      <c r="I132" s="35"/>
      <c r="K132" s="10"/>
      <c r="M132" s="10"/>
      <c r="N132" s="8"/>
      <c r="O132" s="8"/>
    </row>
    <row r="133" spans="1:15" x14ac:dyDescent="0.2">
      <c r="A133" s="16">
        <v>45229</v>
      </c>
      <c r="B133" s="17" t="s">
        <v>10</v>
      </c>
      <c r="C133" s="18">
        <v>10909200</v>
      </c>
      <c r="D133" s="19">
        <f>+C133/E133</f>
        <v>909.1</v>
      </c>
      <c r="E133" s="20">
        <v>12000</v>
      </c>
      <c r="I133" s="35"/>
      <c r="K133" s="10"/>
      <c r="M133" s="10"/>
      <c r="N133" s="8"/>
      <c r="O133" s="8"/>
    </row>
    <row r="134" spans="1:15" x14ac:dyDescent="0.2">
      <c r="A134" s="6">
        <v>45229</v>
      </c>
      <c r="B134" s="7" t="s">
        <v>65</v>
      </c>
      <c r="C134" s="36">
        <v>-112493</v>
      </c>
      <c r="D134" s="9">
        <f t="shared" ref="D134" si="38">+$D$130</f>
        <v>931.7</v>
      </c>
      <c r="E134" s="37">
        <f t="shared" ref="E134:E142" si="39">+C134/D134</f>
        <v>-120.73950842545884</v>
      </c>
      <c r="I134" s="35"/>
      <c r="K134" s="10"/>
      <c r="M134" s="10"/>
      <c r="N134" s="8"/>
      <c r="O134" s="8"/>
    </row>
    <row r="135" spans="1:15" x14ac:dyDescent="0.2">
      <c r="A135" s="6">
        <v>45229</v>
      </c>
      <c r="B135" s="7" t="s">
        <v>65</v>
      </c>
      <c r="C135" s="36">
        <f>-334629-C134</f>
        <v>-222136</v>
      </c>
      <c r="D135" s="9">
        <f>+$D$133</f>
        <v>909.1</v>
      </c>
      <c r="E135" s="37">
        <f t="shared" si="39"/>
        <v>-244.34715652843471</v>
      </c>
      <c r="G135" s="24"/>
      <c r="I135" s="35"/>
      <c r="K135" s="10"/>
      <c r="M135" s="10"/>
      <c r="N135" s="8"/>
      <c r="O135" s="8"/>
    </row>
    <row r="136" spans="1:15" x14ac:dyDescent="0.2">
      <c r="A136" s="6">
        <v>45229</v>
      </c>
      <c r="B136" s="7" t="s">
        <v>22</v>
      </c>
      <c r="C136" s="36">
        <v>-517872</v>
      </c>
      <c r="D136" s="9">
        <f t="shared" ref="D136:D142" si="40">+$D$133</f>
        <v>909.1</v>
      </c>
      <c r="E136" s="37">
        <f t="shared" si="39"/>
        <v>-569.6535034649653</v>
      </c>
      <c r="I136" s="35"/>
      <c r="K136" s="10"/>
      <c r="M136" s="10"/>
      <c r="N136" s="8"/>
      <c r="O136" s="8"/>
    </row>
    <row r="137" spans="1:15" x14ac:dyDescent="0.2">
      <c r="A137" s="6">
        <v>45229</v>
      </c>
      <c r="B137" s="7" t="s">
        <v>2</v>
      </c>
      <c r="C137" s="36">
        <f>-1374612-7000000</f>
        <v>-8374612</v>
      </c>
      <c r="D137" s="9">
        <f t="shared" si="40"/>
        <v>909.1</v>
      </c>
      <c r="E137" s="37">
        <f t="shared" si="39"/>
        <v>-9211.9810801891981</v>
      </c>
      <c r="I137" s="35"/>
      <c r="K137" s="10"/>
      <c r="M137" s="10"/>
      <c r="N137" s="8"/>
      <c r="O137" s="8"/>
    </row>
    <row r="138" spans="1:15" x14ac:dyDescent="0.2">
      <c r="A138" s="6">
        <v>45229</v>
      </c>
      <c r="B138" s="7" t="s">
        <v>4</v>
      </c>
      <c r="C138" s="36">
        <v>-806040</v>
      </c>
      <c r="D138" s="9">
        <f t="shared" si="40"/>
        <v>909.1</v>
      </c>
      <c r="E138" s="37">
        <f t="shared" si="39"/>
        <v>-886.63513364866344</v>
      </c>
      <c r="I138" s="35"/>
      <c r="K138" s="10"/>
      <c r="M138" s="10"/>
      <c r="N138" s="8"/>
      <c r="O138" s="8"/>
    </row>
    <row r="139" spans="1:15" x14ac:dyDescent="0.2">
      <c r="A139" s="6">
        <v>45229</v>
      </c>
      <c r="B139" s="7" t="s">
        <v>66</v>
      </c>
      <c r="C139" s="36">
        <v>-687688</v>
      </c>
      <c r="D139" s="9">
        <f t="shared" si="40"/>
        <v>909.1</v>
      </c>
      <c r="E139" s="37">
        <f t="shared" si="39"/>
        <v>-756.44923550764486</v>
      </c>
      <c r="I139" s="35"/>
      <c r="K139" s="10"/>
      <c r="M139" s="10"/>
      <c r="N139" s="8"/>
      <c r="O139" s="8"/>
    </row>
    <row r="140" spans="1:15" x14ac:dyDescent="0.2">
      <c r="A140" s="12">
        <v>45229</v>
      </c>
      <c r="B140" s="13" t="s">
        <v>25</v>
      </c>
      <c r="C140" s="22">
        <v>-140097</v>
      </c>
      <c r="D140" s="15">
        <f t="shared" si="40"/>
        <v>909.1</v>
      </c>
      <c r="E140" s="38">
        <f t="shared" si="39"/>
        <v>-154.10515894841052</v>
      </c>
      <c r="F140" s="23">
        <f>+F108+SUM(E109:E140)</f>
        <v>176.82873171269404</v>
      </c>
      <c r="G140" s="24"/>
      <c r="I140" s="35"/>
      <c r="K140" s="10"/>
      <c r="M140" s="10"/>
      <c r="N140" s="8"/>
      <c r="O140" s="8"/>
    </row>
    <row r="141" spans="1:15" x14ac:dyDescent="0.2">
      <c r="A141" s="16">
        <v>45232</v>
      </c>
      <c r="B141" s="17" t="s">
        <v>10</v>
      </c>
      <c r="C141" s="18">
        <v>28372800</v>
      </c>
      <c r="D141" s="19">
        <f>+C141/E141</f>
        <v>886.65</v>
      </c>
      <c r="E141" s="20">
        <v>32000</v>
      </c>
      <c r="G141" s="32"/>
      <c r="I141" s="35"/>
      <c r="K141" s="10"/>
      <c r="M141" s="10"/>
      <c r="N141" s="8"/>
      <c r="O141" s="8"/>
    </row>
    <row r="142" spans="1:15" x14ac:dyDescent="0.2">
      <c r="A142" s="6">
        <v>45233</v>
      </c>
      <c r="B142" s="7" t="s">
        <v>48</v>
      </c>
      <c r="C142" s="8">
        <v>-160755</v>
      </c>
      <c r="D142" s="9">
        <f t="shared" si="40"/>
        <v>909.1</v>
      </c>
      <c r="E142" s="39">
        <f t="shared" si="39"/>
        <v>-176.82873171268287</v>
      </c>
      <c r="G142" s="32"/>
      <c r="I142" s="35"/>
      <c r="K142" s="10"/>
      <c r="M142" s="10"/>
      <c r="N142" s="8"/>
      <c r="O142" s="8"/>
    </row>
    <row r="143" spans="1:15" x14ac:dyDescent="0.2">
      <c r="A143" s="6">
        <v>45233</v>
      </c>
      <c r="B143" s="7" t="s">
        <v>48</v>
      </c>
      <c r="C143" s="8">
        <f>-(7000000*3)-1497710-C142</f>
        <v>-22336955</v>
      </c>
      <c r="D143" s="9">
        <f>+$D$141</f>
        <v>886.65</v>
      </c>
      <c r="E143" s="39">
        <f>+C143/D143</f>
        <v>-25192.528055038631</v>
      </c>
      <c r="G143" s="32"/>
      <c r="I143" s="35"/>
      <c r="K143" s="10"/>
      <c r="M143" s="10"/>
      <c r="N143" s="8"/>
      <c r="O143" s="8"/>
    </row>
    <row r="144" spans="1:15" x14ac:dyDescent="0.2">
      <c r="A144" s="6">
        <v>45233</v>
      </c>
      <c r="B144" s="7" t="s">
        <v>68</v>
      </c>
      <c r="C144" s="8">
        <v>-1993246</v>
      </c>
      <c r="D144" s="9">
        <f t="shared" ref="D144:D147" si="41">+$D$141</f>
        <v>886.65</v>
      </c>
      <c r="E144" s="39">
        <f t="shared" ref="E144:E147" si="42">+C144/D144</f>
        <v>-2248.064061354537</v>
      </c>
      <c r="G144" s="32"/>
      <c r="I144" s="35"/>
      <c r="K144" s="10"/>
      <c r="M144" s="10"/>
      <c r="N144" s="8"/>
      <c r="O144" s="8"/>
    </row>
    <row r="145" spans="1:15" x14ac:dyDescent="0.2">
      <c r="A145" s="6">
        <v>45233</v>
      </c>
      <c r="B145" s="7" t="s">
        <v>22</v>
      </c>
      <c r="C145" s="8">
        <v>-778498</v>
      </c>
      <c r="D145" s="9">
        <f t="shared" si="41"/>
        <v>886.65</v>
      </c>
      <c r="E145" s="39">
        <f t="shared" si="42"/>
        <v>-878.02176732645353</v>
      </c>
      <c r="G145" s="32"/>
      <c r="I145" s="35"/>
      <c r="K145" s="10"/>
      <c r="M145" s="10"/>
      <c r="N145" s="8"/>
      <c r="O145" s="8"/>
    </row>
    <row r="146" spans="1:15" x14ac:dyDescent="0.2">
      <c r="A146" s="6">
        <v>45236</v>
      </c>
      <c r="B146" s="7" t="s">
        <v>69</v>
      </c>
      <c r="C146" s="8">
        <v>-464196</v>
      </c>
      <c r="D146" s="9">
        <f t="shared" si="41"/>
        <v>886.65</v>
      </c>
      <c r="E146" s="39">
        <f t="shared" si="42"/>
        <v>-523.53916427000513</v>
      </c>
      <c r="G146" s="32"/>
      <c r="I146" s="35"/>
      <c r="K146" s="10"/>
      <c r="M146" s="10"/>
      <c r="N146" s="8"/>
      <c r="O146" s="8"/>
    </row>
    <row r="147" spans="1:15" x14ac:dyDescent="0.2">
      <c r="A147" s="6">
        <v>45236</v>
      </c>
      <c r="B147" s="7" t="s">
        <v>70</v>
      </c>
      <c r="C147" s="8">
        <v>-624096</v>
      </c>
      <c r="D147" s="9">
        <f t="shared" si="41"/>
        <v>886.65</v>
      </c>
      <c r="E147" s="39">
        <f t="shared" si="42"/>
        <v>-703.88090001691762</v>
      </c>
      <c r="G147" s="32"/>
      <c r="I147" s="35"/>
      <c r="K147" s="10"/>
      <c r="M147" s="10"/>
      <c r="N147" s="8"/>
      <c r="O147" s="8"/>
    </row>
    <row r="148" spans="1:15" x14ac:dyDescent="0.2">
      <c r="A148" s="6">
        <v>45236</v>
      </c>
      <c r="B148" s="7" t="s">
        <v>67</v>
      </c>
      <c r="C148" s="8">
        <v>-2084982</v>
      </c>
      <c r="D148" s="9">
        <f>+$D$141</f>
        <v>886.65</v>
      </c>
      <c r="E148" s="39">
        <f>+C148/D148</f>
        <v>-2351.5276602943663</v>
      </c>
      <c r="G148" s="32"/>
      <c r="I148" s="35"/>
      <c r="K148" s="10"/>
      <c r="M148" s="10"/>
      <c r="N148" s="8"/>
      <c r="O148" s="8"/>
    </row>
    <row r="149" spans="1:15" x14ac:dyDescent="0.2">
      <c r="A149" s="16">
        <v>45237</v>
      </c>
      <c r="B149" s="17" t="s">
        <v>10</v>
      </c>
      <c r="C149" s="18">
        <v>797175</v>
      </c>
      <c r="D149" s="19">
        <f>+C149/E149</f>
        <v>885.75</v>
      </c>
      <c r="E149" s="20">
        <v>900</v>
      </c>
      <c r="G149" s="32"/>
      <c r="I149" s="35"/>
      <c r="K149" s="10"/>
      <c r="M149" s="10"/>
      <c r="N149" s="8"/>
      <c r="O149" s="8"/>
    </row>
    <row r="150" spans="1:15" x14ac:dyDescent="0.2">
      <c r="A150" s="6">
        <v>45237</v>
      </c>
      <c r="B150" s="7" t="s">
        <v>71</v>
      </c>
      <c r="C150" s="8">
        <v>-90827</v>
      </c>
      <c r="D150" s="9">
        <f>+$D$141</f>
        <v>886.65</v>
      </c>
      <c r="E150" s="39">
        <f>+C150/D150</f>
        <v>-102.43839169909209</v>
      </c>
      <c r="G150" s="32"/>
      <c r="I150" s="35"/>
      <c r="K150" s="10"/>
      <c r="M150" s="10"/>
      <c r="N150" s="8"/>
      <c r="O150" s="8"/>
    </row>
    <row r="151" spans="1:15" x14ac:dyDescent="0.2">
      <c r="A151" s="6">
        <v>45237</v>
      </c>
      <c r="B151" s="7" t="s">
        <v>71</v>
      </c>
      <c r="C151" s="8">
        <f>-710439-C150</f>
        <v>-619612</v>
      </c>
      <c r="D151" s="9">
        <f>+$D$149</f>
        <v>885.75</v>
      </c>
      <c r="E151" s="39">
        <f>+C151/D151</f>
        <v>-699.53372847869036</v>
      </c>
      <c r="G151" s="32"/>
      <c r="I151" s="35"/>
      <c r="K151" s="10"/>
      <c r="M151" s="10"/>
      <c r="N151" s="8"/>
      <c r="O151" s="8"/>
    </row>
    <row r="152" spans="1:15" x14ac:dyDescent="0.2">
      <c r="A152" s="16">
        <v>45239</v>
      </c>
      <c r="B152" s="17" t="s">
        <v>10</v>
      </c>
      <c r="C152" s="18">
        <v>40592250</v>
      </c>
      <c r="D152" s="19">
        <f>+C152/E152</f>
        <v>902.05</v>
      </c>
      <c r="E152" s="20">
        <v>45000</v>
      </c>
      <c r="G152" s="32"/>
      <c r="I152" s="35"/>
      <c r="K152" s="10"/>
      <c r="M152" s="10"/>
      <c r="N152" s="8"/>
      <c r="O152" s="8"/>
    </row>
    <row r="153" spans="1:15" x14ac:dyDescent="0.2">
      <c r="A153" s="6">
        <v>45239</v>
      </c>
      <c r="B153" s="7" t="s">
        <v>22</v>
      </c>
      <c r="C153" s="8">
        <v>-177563</v>
      </c>
      <c r="D153" s="9">
        <f t="shared" ref="D153" si="43">+$D$149</f>
        <v>885.75</v>
      </c>
      <c r="E153" s="39">
        <f t="shared" ref="E153:E157" si="44">+C153/D153</f>
        <v>-200.46627152130964</v>
      </c>
      <c r="G153" s="32"/>
      <c r="I153" s="35"/>
      <c r="K153" s="10"/>
      <c r="M153" s="10"/>
      <c r="N153" s="8"/>
      <c r="O153" s="8"/>
    </row>
    <row r="154" spans="1:15" x14ac:dyDescent="0.2">
      <c r="A154" s="6">
        <v>45239</v>
      </c>
      <c r="B154" s="7" t="s">
        <v>22</v>
      </c>
      <c r="C154" s="8">
        <f>-260161-C153</f>
        <v>-82598</v>
      </c>
      <c r="D154" s="9">
        <f>+$D$152</f>
        <v>902.05</v>
      </c>
      <c r="E154" s="39">
        <f t="shared" si="44"/>
        <v>-91.566986308962925</v>
      </c>
      <c r="G154" s="32"/>
      <c r="I154" s="35"/>
      <c r="K154" s="10"/>
      <c r="M154" s="10"/>
      <c r="N154" s="8"/>
      <c r="O154" s="8"/>
    </row>
    <row r="155" spans="1:15" x14ac:dyDescent="0.2">
      <c r="A155" s="6">
        <v>45239</v>
      </c>
      <c r="B155" s="7" t="s">
        <v>4</v>
      </c>
      <c r="C155" s="8">
        <v>-809496</v>
      </c>
      <c r="D155" s="9">
        <f t="shared" ref="D155:D162" si="45">+$D$152</f>
        <v>902.05</v>
      </c>
      <c r="E155" s="39">
        <f t="shared" si="44"/>
        <v>-897.39593148938536</v>
      </c>
      <c r="G155" s="32"/>
      <c r="I155" s="35"/>
      <c r="K155" s="10"/>
      <c r="M155" s="10"/>
      <c r="N155" s="8"/>
      <c r="O155" s="8"/>
    </row>
    <row r="156" spans="1:15" x14ac:dyDescent="0.2">
      <c r="A156" s="6">
        <v>45239</v>
      </c>
      <c r="B156" s="7" t="s">
        <v>56</v>
      </c>
      <c r="C156" s="8">
        <v>-80000</v>
      </c>
      <c r="D156" s="9">
        <f t="shared" si="45"/>
        <v>902.05</v>
      </c>
      <c r="E156" s="39">
        <f t="shared" si="44"/>
        <v>-88.686879884707054</v>
      </c>
      <c r="G156" s="32"/>
      <c r="H156" s="40"/>
      <c r="I156" s="8"/>
      <c r="J156" s="8"/>
      <c r="K156" s="8"/>
      <c r="M156" s="10"/>
      <c r="N156" s="8"/>
      <c r="O156" s="8"/>
    </row>
    <row r="157" spans="1:15" x14ac:dyDescent="0.2">
      <c r="A157" s="6">
        <v>45239</v>
      </c>
      <c r="B157" s="7" t="s">
        <v>72</v>
      </c>
      <c r="C157" s="8">
        <v>-91011</v>
      </c>
      <c r="D157" s="9">
        <f t="shared" si="45"/>
        <v>902.05</v>
      </c>
      <c r="E157" s="39">
        <f t="shared" si="44"/>
        <v>-100.89352031483843</v>
      </c>
      <c r="G157" s="32"/>
      <c r="H157" s="40"/>
      <c r="I157" s="8"/>
      <c r="J157" s="8"/>
      <c r="K157" s="8"/>
      <c r="M157" s="10"/>
      <c r="N157" s="8"/>
      <c r="O157" s="8"/>
    </row>
    <row r="158" spans="1:15" x14ac:dyDescent="0.2">
      <c r="A158" s="6">
        <v>45239</v>
      </c>
      <c r="B158" s="7" t="s">
        <v>3</v>
      </c>
      <c r="C158" s="8">
        <v>-17292</v>
      </c>
      <c r="D158" s="9">
        <f t="shared" si="45"/>
        <v>902.05</v>
      </c>
      <c r="E158" s="39">
        <f t="shared" ref="E158:E165" si="46">+C158/D158</f>
        <v>-19.169669087079431</v>
      </c>
      <c r="G158" s="32"/>
      <c r="H158" s="40"/>
      <c r="I158" s="8"/>
      <c r="J158" s="8"/>
      <c r="K158" s="8"/>
      <c r="M158" s="10"/>
      <c r="N158" s="8"/>
      <c r="O158" s="8"/>
    </row>
    <row r="159" spans="1:15" x14ac:dyDescent="0.2">
      <c r="A159" s="6">
        <v>45240</v>
      </c>
      <c r="B159" s="7" t="s">
        <v>2</v>
      </c>
      <c r="C159" s="8">
        <v>-36723052</v>
      </c>
      <c r="D159" s="9">
        <f t="shared" si="45"/>
        <v>902.05</v>
      </c>
      <c r="E159" s="39">
        <f t="shared" si="46"/>
        <v>-40710.661271548146</v>
      </c>
      <c r="G159" s="32"/>
      <c r="H159" s="40"/>
      <c r="I159" s="8"/>
      <c r="J159" s="8"/>
      <c r="K159" s="8"/>
      <c r="M159" s="10"/>
      <c r="N159" s="8"/>
      <c r="O159" s="8"/>
    </row>
    <row r="160" spans="1:15" x14ac:dyDescent="0.2">
      <c r="A160" s="6">
        <v>45240</v>
      </c>
      <c r="B160" s="7" t="s">
        <v>71</v>
      </c>
      <c r="C160" s="8">
        <v>-1288499</v>
      </c>
      <c r="D160" s="9">
        <f t="shared" si="45"/>
        <v>902.05</v>
      </c>
      <c r="E160" s="39">
        <f t="shared" ref="E160" si="47">+C160/D160</f>
        <v>-1428.4119505570645</v>
      </c>
      <c r="G160" s="32"/>
      <c r="H160" s="40"/>
      <c r="I160" s="8"/>
      <c r="J160" s="8"/>
      <c r="K160" s="8"/>
      <c r="M160" s="10"/>
      <c r="N160" s="8"/>
      <c r="O160" s="8"/>
    </row>
    <row r="161" spans="1:15" x14ac:dyDescent="0.2">
      <c r="A161" s="16">
        <v>45245</v>
      </c>
      <c r="B161" s="17" t="s">
        <v>10</v>
      </c>
      <c r="C161" s="18">
        <v>30000000</v>
      </c>
      <c r="D161" s="19">
        <f>+C161/E161</f>
        <v>880.27988205423287</v>
      </c>
      <c r="E161" s="20">
        <v>34080.07</v>
      </c>
      <c r="G161" s="32"/>
      <c r="H161" s="40"/>
      <c r="I161" s="8"/>
      <c r="J161" s="8"/>
      <c r="K161" s="8"/>
      <c r="M161" s="10"/>
      <c r="N161" s="8"/>
      <c r="O161" s="8"/>
    </row>
    <row r="162" spans="1:15" x14ac:dyDescent="0.2">
      <c r="A162" s="6">
        <v>45245</v>
      </c>
      <c r="B162" s="7" t="s">
        <v>73</v>
      </c>
      <c r="C162" s="8">
        <v>-1500302</v>
      </c>
      <c r="D162" s="9">
        <f t="shared" si="45"/>
        <v>902.05</v>
      </c>
      <c r="E162" s="39">
        <f t="shared" si="46"/>
        <v>-1663.2137908098221</v>
      </c>
      <c r="G162" s="32"/>
      <c r="H162" s="40"/>
      <c r="I162" s="8"/>
      <c r="J162" s="8"/>
      <c r="K162" s="8"/>
      <c r="M162" s="10"/>
      <c r="N162" s="8"/>
      <c r="O162" s="8"/>
    </row>
    <row r="163" spans="1:15" x14ac:dyDescent="0.2">
      <c r="A163" s="6">
        <v>45245</v>
      </c>
      <c r="B163" s="7" t="s">
        <v>73</v>
      </c>
      <c r="C163" s="8">
        <f>-29961417-C162</f>
        <v>-28461115</v>
      </c>
      <c r="D163" s="9">
        <f>+$D$161</f>
        <v>880.27988205423287</v>
      </c>
      <c r="E163" s="39">
        <f t="shared" si="46"/>
        <v>-32331.893049268332</v>
      </c>
      <c r="G163" s="32"/>
      <c r="H163" s="40"/>
      <c r="I163" s="8"/>
      <c r="J163" s="8"/>
      <c r="K163" s="10"/>
      <c r="M163" s="10"/>
      <c r="N163" s="8"/>
      <c r="O163" s="8"/>
    </row>
    <row r="164" spans="1:15" x14ac:dyDescent="0.2">
      <c r="A164" s="6">
        <v>45246</v>
      </c>
      <c r="B164" s="7" t="s">
        <v>74</v>
      </c>
      <c r="C164" s="8">
        <v>-225322</v>
      </c>
      <c r="D164" s="9">
        <f t="shared" ref="D164:D168" si="48">+$D$161</f>
        <v>880.27988205423287</v>
      </c>
      <c r="E164" s="39">
        <f t="shared" si="46"/>
        <v>-255.96631775133332</v>
      </c>
      <c r="G164" s="32"/>
      <c r="H164" s="40"/>
      <c r="I164" s="8"/>
      <c r="J164" s="8"/>
      <c r="K164" s="10"/>
      <c r="M164" s="10"/>
      <c r="N164" s="8"/>
      <c r="O164" s="8"/>
    </row>
    <row r="165" spans="1:15" x14ac:dyDescent="0.2">
      <c r="A165" s="6">
        <v>45246</v>
      </c>
      <c r="B165" s="7" t="s">
        <v>25</v>
      </c>
      <c r="C165" s="8">
        <v>-134329</v>
      </c>
      <c r="D165" s="9">
        <f t="shared" si="48"/>
        <v>880.27988205423287</v>
      </c>
      <c r="E165" s="39">
        <f t="shared" si="46"/>
        <v>-152.59805743433333</v>
      </c>
      <c r="G165" s="32"/>
      <c r="H165" s="40"/>
      <c r="I165" s="8"/>
      <c r="J165" s="8"/>
      <c r="K165" s="10"/>
      <c r="M165" s="10"/>
      <c r="N165" s="8"/>
      <c r="O165" s="8"/>
    </row>
    <row r="166" spans="1:15" x14ac:dyDescent="0.2">
      <c r="A166" s="16">
        <v>45251</v>
      </c>
      <c r="B166" s="17" t="s">
        <v>10</v>
      </c>
      <c r="C166" s="18">
        <v>217088</v>
      </c>
      <c r="D166" s="19">
        <f>+C166/E166</f>
        <v>868.35199999999998</v>
      </c>
      <c r="E166" s="20">
        <v>250</v>
      </c>
      <c r="G166" s="32"/>
      <c r="H166" s="40"/>
      <c r="I166" s="8"/>
      <c r="J166" s="8"/>
      <c r="K166" s="8"/>
      <c r="M166" s="10"/>
      <c r="N166" s="8"/>
      <c r="O166" s="8"/>
    </row>
    <row r="167" spans="1:15" x14ac:dyDescent="0.2">
      <c r="A167" s="6">
        <v>45251</v>
      </c>
      <c r="B167" s="7" t="s">
        <v>66</v>
      </c>
      <c r="C167" s="8">
        <v>-693151</v>
      </c>
      <c r="D167" s="9">
        <f t="shared" si="48"/>
        <v>880.27988205423287</v>
      </c>
      <c r="E167" s="39">
        <f t="shared" ref="E167:E170" si="49">+C167/D167</f>
        <v>-787.42115335233336</v>
      </c>
      <c r="G167" s="32"/>
      <c r="H167" s="40"/>
      <c r="I167" s="8"/>
      <c r="J167" s="8"/>
      <c r="K167" s="10"/>
      <c r="M167" s="10"/>
      <c r="N167" s="8"/>
      <c r="O167" s="8"/>
    </row>
    <row r="168" spans="1:15" x14ac:dyDescent="0.2">
      <c r="A168" s="6">
        <v>45251</v>
      </c>
      <c r="B168" s="7" t="s">
        <v>75</v>
      </c>
      <c r="C168" s="8">
        <v>-486083</v>
      </c>
      <c r="D168" s="9">
        <f t="shared" si="48"/>
        <v>880.27988205423287</v>
      </c>
      <c r="E168" s="39">
        <f t="shared" si="49"/>
        <v>-552.19142219366665</v>
      </c>
      <c r="G168" s="32"/>
      <c r="H168" s="40"/>
      <c r="I168" s="8"/>
      <c r="J168" s="8"/>
      <c r="K168" s="10"/>
      <c r="M168" s="10"/>
      <c r="N168" s="8"/>
      <c r="O168" s="8"/>
    </row>
    <row r="169" spans="1:15" x14ac:dyDescent="0.2">
      <c r="A169" s="6">
        <v>45251</v>
      </c>
      <c r="B169" s="7" t="s">
        <v>75</v>
      </c>
      <c r="C169" s="8">
        <f>-556283-C168</f>
        <v>-70200</v>
      </c>
      <c r="D169" s="9">
        <f>+$D$166</f>
        <v>868.35199999999998</v>
      </c>
      <c r="E169" s="39">
        <f t="shared" si="49"/>
        <v>-80.842791863207552</v>
      </c>
      <c r="G169" s="32"/>
      <c r="H169" s="40"/>
      <c r="I169" s="8"/>
      <c r="J169" s="8"/>
      <c r="K169" s="10"/>
      <c r="M169" s="10"/>
      <c r="N169" s="8"/>
      <c r="O169" s="8"/>
    </row>
    <row r="170" spans="1:15" x14ac:dyDescent="0.2">
      <c r="A170" s="6">
        <v>45251</v>
      </c>
      <c r="B170" s="7" t="s">
        <v>71</v>
      </c>
      <c r="C170" s="8">
        <v>-42523</v>
      </c>
      <c r="D170" s="9">
        <f t="shared" ref="D170:D172" si="50">+$D$166</f>
        <v>868.35199999999998</v>
      </c>
      <c r="E170" s="39">
        <f t="shared" si="49"/>
        <v>-48.969772626768872</v>
      </c>
      <c r="G170" s="32"/>
      <c r="H170" s="40"/>
      <c r="I170" s="8"/>
      <c r="J170" s="8"/>
      <c r="K170" s="10"/>
      <c r="M170" s="10"/>
      <c r="N170" s="8"/>
      <c r="O170" s="8"/>
    </row>
    <row r="171" spans="1:15" x14ac:dyDescent="0.2">
      <c r="A171" s="16">
        <v>45252</v>
      </c>
      <c r="B171" s="17" t="s">
        <v>10</v>
      </c>
      <c r="C171" s="18">
        <v>874250</v>
      </c>
      <c r="D171" s="19">
        <f>+C171/E171</f>
        <v>874.25</v>
      </c>
      <c r="E171" s="20">
        <v>1000</v>
      </c>
      <c r="G171" s="32"/>
      <c r="H171" s="40"/>
      <c r="I171" s="8"/>
      <c r="J171" s="8"/>
      <c r="K171" s="8"/>
      <c r="M171" s="10"/>
      <c r="N171" s="8"/>
      <c r="O171" s="8"/>
    </row>
    <row r="172" spans="1:15" x14ac:dyDescent="0.2">
      <c r="A172" s="6">
        <v>45252</v>
      </c>
      <c r="B172" s="7" t="s">
        <v>76</v>
      </c>
      <c r="C172" s="8">
        <v>-104365</v>
      </c>
      <c r="D172" s="9">
        <f t="shared" si="50"/>
        <v>868.35199999999998</v>
      </c>
      <c r="E172" s="39">
        <f t="shared" ref="E172:E229" si="51">+C172/D172</f>
        <v>-120.18743551002359</v>
      </c>
      <c r="G172" s="32"/>
      <c r="H172" s="40"/>
      <c r="I172" s="8"/>
      <c r="J172" s="8"/>
      <c r="K172" s="10"/>
      <c r="M172" s="10"/>
      <c r="N172" s="8"/>
      <c r="O172" s="8"/>
    </row>
    <row r="173" spans="1:15" x14ac:dyDescent="0.2">
      <c r="A173" s="6">
        <v>45252</v>
      </c>
      <c r="B173" s="7" t="s">
        <v>76</v>
      </c>
      <c r="C173" s="8">
        <f>-875847-C172</f>
        <v>-771482</v>
      </c>
      <c r="D173" s="9">
        <f>+$D$171</f>
        <v>874.25</v>
      </c>
      <c r="E173" s="39">
        <f t="shared" si="51"/>
        <v>-882.45010008578777</v>
      </c>
      <c r="G173" s="32"/>
      <c r="H173" s="40"/>
      <c r="I173" s="8"/>
      <c r="J173" s="8"/>
      <c r="K173" s="10"/>
      <c r="M173" s="10"/>
      <c r="N173" s="8"/>
      <c r="O173" s="8"/>
    </row>
    <row r="174" spans="1:15" x14ac:dyDescent="0.2">
      <c r="A174" s="16">
        <v>45260</v>
      </c>
      <c r="B174" s="17" t="s">
        <v>10</v>
      </c>
      <c r="C174" s="18">
        <v>1824900</v>
      </c>
      <c r="D174" s="19">
        <f>+C174/E174</f>
        <v>869</v>
      </c>
      <c r="E174" s="20">
        <v>2100</v>
      </c>
      <c r="G174" s="32"/>
      <c r="H174" s="40"/>
      <c r="I174" s="8"/>
      <c r="J174" s="8"/>
      <c r="K174" s="10"/>
      <c r="M174" s="10"/>
      <c r="N174" s="8"/>
      <c r="O174" s="8"/>
    </row>
    <row r="175" spans="1:15" x14ac:dyDescent="0.2">
      <c r="A175" s="6">
        <v>45260</v>
      </c>
      <c r="B175" s="7" t="s">
        <v>22</v>
      </c>
      <c r="C175" s="8">
        <v>-102768</v>
      </c>
      <c r="D175" s="9">
        <f t="shared" ref="D175" si="52">+$D$171</f>
        <v>874.25</v>
      </c>
      <c r="E175" s="39">
        <f t="shared" si="51"/>
        <v>-117.54989991421218</v>
      </c>
      <c r="G175" s="32"/>
      <c r="H175" s="40"/>
      <c r="I175" s="8"/>
      <c r="J175" s="8"/>
      <c r="K175" s="10"/>
      <c r="M175" s="10"/>
      <c r="N175" s="8"/>
      <c r="O175" s="8"/>
    </row>
    <row r="176" spans="1:15" x14ac:dyDescent="0.2">
      <c r="A176" s="6">
        <v>45260</v>
      </c>
      <c r="B176" s="7" t="s">
        <v>22</v>
      </c>
      <c r="C176" s="8">
        <f>-893937-C175</f>
        <v>-791169</v>
      </c>
      <c r="D176" s="9">
        <f>+$D$174</f>
        <v>869</v>
      </c>
      <c r="E176" s="39">
        <f t="shared" si="51"/>
        <v>-910.43613348676638</v>
      </c>
      <c r="G176" s="32"/>
      <c r="H176" s="40"/>
      <c r="I176" s="8"/>
      <c r="J176" s="8"/>
      <c r="K176" s="10"/>
      <c r="M176" s="10"/>
      <c r="N176" s="8"/>
      <c r="O176" s="8"/>
    </row>
    <row r="177" spans="1:15" x14ac:dyDescent="0.2">
      <c r="A177" s="12">
        <v>45260</v>
      </c>
      <c r="B177" s="13" t="s">
        <v>56</v>
      </c>
      <c r="C177" s="22">
        <v>-80000</v>
      </c>
      <c r="D177" s="15">
        <f t="shared" ref="D177:D182" si="53">+$D$174</f>
        <v>869</v>
      </c>
      <c r="E177" s="38">
        <f t="shared" si="51"/>
        <v>-92.059838895281928</v>
      </c>
      <c r="F177" s="23">
        <f>+F140+SUM(E141:E177)</f>
        <v>1097.5040276179509</v>
      </c>
      <c r="G177" s="32"/>
      <c r="H177" s="40"/>
      <c r="I177" s="8"/>
      <c r="J177" s="8"/>
      <c r="K177" s="10"/>
      <c r="M177" s="10"/>
      <c r="N177" s="8"/>
      <c r="O177" s="8"/>
    </row>
    <row r="178" spans="1:15" x14ac:dyDescent="0.2">
      <c r="A178" s="6">
        <v>45261</v>
      </c>
      <c r="B178" s="7" t="s">
        <v>77</v>
      </c>
      <c r="C178" s="8">
        <v>-704000</v>
      </c>
      <c r="D178" s="9">
        <f t="shared" si="53"/>
        <v>869</v>
      </c>
      <c r="E178" s="39">
        <f t="shared" si="51"/>
        <v>-810.12658227848101</v>
      </c>
      <c r="G178" s="32"/>
      <c r="H178" s="40"/>
      <c r="I178" s="8"/>
      <c r="J178" s="8"/>
      <c r="K178" s="10"/>
      <c r="M178" s="10"/>
      <c r="N178" s="8"/>
      <c r="O178" s="8"/>
    </row>
    <row r="179" spans="1:15" x14ac:dyDescent="0.2">
      <c r="A179" s="6">
        <v>45267</v>
      </c>
      <c r="B179" s="7" t="s">
        <v>14</v>
      </c>
      <c r="C179" s="8">
        <v>-731</v>
      </c>
      <c r="D179" s="9">
        <f t="shared" si="53"/>
        <v>869</v>
      </c>
      <c r="E179" s="39">
        <f t="shared" si="51"/>
        <v>-0.84119677790563863</v>
      </c>
      <c r="G179" s="32"/>
      <c r="H179" s="40"/>
      <c r="I179" s="8"/>
      <c r="J179" s="8"/>
      <c r="K179" s="10"/>
      <c r="M179" s="10"/>
      <c r="N179" s="8"/>
      <c r="O179" s="8"/>
    </row>
    <row r="180" spans="1:15" x14ac:dyDescent="0.2">
      <c r="A180" s="6">
        <v>45267</v>
      </c>
      <c r="B180" s="7" t="s">
        <v>3</v>
      </c>
      <c r="C180" s="8">
        <v>-139</v>
      </c>
      <c r="D180" s="9">
        <f t="shared" si="53"/>
        <v>869</v>
      </c>
      <c r="E180" s="39">
        <f t="shared" si="51"/>
        <v>-0.15995397008055237</v>
      </c>
      <c r="G180" s="32"/>
      <c r="H180" s="40"/>
      <c r="I180" s="8"/>
      <c r="J180" s="8"/>
      <c r="K180" s="10"/>
      <c r="M180" s="10"/>
      <c r="N180" s="8"/>
      <c r="O180" s="8"/>
    </row>
    <row r="181" spans="1:15" x14ac:dyDescent="0.2">
      <c r="A181" s="16">
        <v>45267</v>
      </c>
      <c r="B181" s="17" t="s">
        <v>10</v>
      </c>
      <c r="C181" s="18">
        <v>242000000</v>
      </c>
      <c r="D181" s="19">
        <f>+C181/E181</f>
        <v>869.50001270116752</v>
      </c>
      <c r="E181" s="20">
        <v>278320.87</v>
      </c>
      <c r="G181" s="32"/>
      <c r="H181" s="40"/>
      <c r="I181" s="8"/>
      <c r="J181" s="8"/>
      <c r="K181" s="10"/>
      <c r="M181" s="10"/>
      <c r="N181" s="8"/>
      <c r="O181" s="8"/>
    </row>
    <row r="182" spans="1:15" x14ac:dyDescent="0.2">
      <c r="A182" s="6">
        <v>45267</v>
      </c>
      <c r="B182" s="7" t="s">
        <v>5</v>
      </c>
      <c r="C182" s="8">
        <v>-248861</v>
      </c>
      <c r="D182" s="9">
        <f t="shared" si="53"/>
        <v>869</v>
      </c>
      <c r="E182" s="39">
        <f t="shared" si="51"/>
        <v>-286.37629459148445</v>
      </c>
      <c r="G182" s="32"/>
      <c r="H182" s="40"/>
      <c r="I182" s="8"/>
      <c r="J182" s="8"/>
      <c r="K182" s="10"/>
      <c r="M182" s="10"/>
      <c r="N182" s="8"/>
      <c r="O182" s="8"/>
    </row>
    <row r="183" spans="1:15" x14ac:dyDescent="0.2">
      <c r="A183" s="6">
        <v>45267</v>
      </c>
      <c r="B183" s="7" t="s">
        <v>5</v>
      </c>
      <c r="C183" s="8">
        <f>-241347754-C182</f>
        <v>-241098893</v>
      </c>
      <c r="D183" s="9">
        <f>+$D$181</f>
        <v>869.50001270116752</v>
      </c>
      <c r="E183" s="39">
        <f t="shared" si="51"/>
        <v>-277284.51923883019</v>
      </c>
      <c r="G183" s="32"/>
      <c r="H183" s="40"/>
      <c r="I183" s="8"/>
      <c r="J183" s="8"/>
      <c r="K183" s="10"/>
      <c r="M183" s="10"/>
      <c r="N183" s="8"/>
      <c r="O183" s="8"/>
    </row>
    <row r="184" spans="1:15" x14ac:dyDescent="0.2">
      <c r="A184" s="6">
        <v>45271</v>
      </c>
      <c r="B184" s="7" t="s">
        <v>14</v>
      </c>
      <c r="C184" s="8">
        <v>-91422</v>
      </c>
      <c r="D184" s="9">
        <f t="shared" ref="D184:D191" si="54">+$D$181</f>
        <v>869.50001270116752</v>
      </c>
      <c r="E184" s="39">
        <f t="shared" si="51"/>
        <v>-105.14318420305786</v>
      </c>
      <c r="H184" s="40"/>
      <c r="I184" s="8"/>
      <c r="J184" s="8"/>
      <c r="K184" s="10"/>
      <c r="M184" s="10"/>
      <c r="N184" s="8"/>
      <c r="O184" s="8"/>
    </row>
    <row r="185" spans="1:15" x14ac:dyDescent="0.2">
      <c r="A185" s="6">
        <v>45271</v>
      </c>
      <c r="B185" s="7" t="s">
        <v>3</v>
      </c>
      <c r="C185" s="8">
        <v>-17370</v>
      </c>
      <c r="D185" s="9">
        <f t="shared" si="54"/>
        <v>869.50001270116752</v>
      </c>
      <c r="E185" s="39">
        <f t="shared" si="51"/>
        <v>-19.976997983057853</v>
      </c>
      <c r="G185" s="24"/>
      <c r="H185" s="40"/>
      <c r="I185" s="8"/>
      <c r="J185" s="8"/>
      <c r="K185" s="10"/>
      <c r="M185" s="10"/>
      <c r="N185" s="8"/>
      <c r="O185" s="8"/>
    </row>
    <row r="186" spans="1:15" x14ac:dyDescent="0.2">
      <c r="A186" s="6">
        <v>45273</v>
      </c>
      <c r="B186" s="7" t="s">
        <v>14</v>
      </c>
      <c r="C186" s="8">
        <v>-132885</v>
      </c>
      <c r="D186" s="9">
        <f t="shared" si="54"/>
        <v>869.50001270116752</v>
      </c>
      <c r="E186" s="39">
        <f t="shared" si="51"/>
        <v>-152.82920995847107</v>
      </c>
      <c r="G186" s="32"/>
      <c r="H186" s="40"/>
      <c r="I186" s="8"/>
      <c r="J186" s="8"/>
      <c r="K186" s="8"/>
      <c r="M186" s="10"/>
      <c r="N186" s="8"/>
      <c r="O186" s="8"/>
    </row>
    <row r="187" spans="1:15" x14ac:dyDescent="0.2">
      <c r="A187" s="16">
        <v>45275</v>
      </c>
      <c r="B187" s="17" t="s">
        <v>56</v>
      </c>
      <c r="C187" s="18">
        <v>232170</v>
      </c>
      <c r="D187" s="19">
        <f t="shared" si="54"/>
        <v>869.50001270116752</v>
      </c>
      <c r="E187" s="20">
        <f t="shared" si="51"/>
        <v>267.01552226404959</v>
      </c>
      <c r="G187" s="32"/>
      <c r="H187" s="40"/>
      <c r="I187" s="8"/>
      <c r="J187" s="8"/>
      <c r="K187" s="10"/>
      <c r="M187" s="10"/>
      <c r="N187" s="8"/>
      <c r="O187" s="8"/>
    </row>
    <row r="188" spans="1:15" x14ac:dyDescent="0.2">
      <c r="A188" s="6">
        <v>45278</v>
      </c>
      <c r="B188" s="7" t="s">
        <v>15</v>
      </c>
      <c r="C188" s="8">
        <v>-116139</v>
      </c>
      <c r="D188" s="9">
        <f t="shared" si="54"/>
        <v>869.50001270116752</v>
      </c>
      <c r="E188" s="39">
        <f t="shared" si="51"/>
        <v>-133.56986578896695</v>
      </c>
      <c r="G188" s="32"/>
      <c r="H188" s="40"/>
      <c r="I188" s="8"/>
      <c r="J188" s="8"/>
      <c r="K188" s="8"/>
      <c r="M188" s="10"/>
      <c r="N188" s="8"/>
      <c r="O188" s="8"/>
    </row>
    <row r="189" spans="1:15" x14ac:dyDescent="0.2">
      <c r="A189" s="6">
        <v>45281</v>
      </c>
      <c r="B189" s="7" t="s">
        <v>78</v>
      </c>
      <c r="C189" s="8">
        <v>-131097</v>
      </c>
      <c r="D189" s="9">
        <f t="shared" si="54"/>
        <v>869.50001270116752</v>
      </c>
      <c r="E189" s="39">
        <f t="shared" si="51"/>
        <v>-150.77285576194214</v>
      </c>
      <c r="G189" s="32"/>
      <c r="H189" s="40"/>
      <c r="I189" s="8"/>
      <c r="J189" s="8"/>
      <c r="K189" s="8"/>
      <c r="M189" s="10"/>
      <c r="N189" s="8"/>
      <c r="O189" s="8"/>
    </row>
    <row r="190" spans="1:15" x14ac:dyDescent="0.2">
      <c r="A190" s="16">
        <v>45288</v>
      </c>
      <c r="B190" s="17" t="s">
        <v>10</v>
      </c>
      <c r="C190" s="18">
        <v>3704946</v>
      </c>
      <c r="D190" s="19">
        <f>+C190/E190</f>
        <v>882.13</v>
      </c>
      <c r="E190" s="20">
        <v>4200</v>
      </c>
      <c r="G190" s="32"/>
      <c r="H190" s="40"/>
      <c r="I190" s="8"/>
      <c r="J190" s="8"/>
      <c r="K190" s="10"/>
      <c r="M190" s="10"/>
      <c r="N190" s="8"/>
      <c r="O190" s="8"/>
    </row>
    <row r="191" spans="1:15" x14ac:dyDescent="0.2">
      <c r="A191" s="6">
        <v>45288</v>
      </c>
      <c r="B191" s="7" t="s">
        <v>4</v>
      </c>
      <c r="C191" s="8">
        <v>-644364</v>
      </c>
      <c r="D191" s="9">
        <f t="shared" si="54"/>
        <v>869.50001270116752</v>
      </c>
      <c r="E191" s="39">
        <f t="shared" si="51"/>
        <v>-741.07416973834711</v>
      </c>
      <c r="G191" s="32"/>
      <c r="H191" s="40"/>
      <c r="I191" s="8"/>
      <c r="J191" s="8"/>
      <c r="K191" s="10"/>
      <c r="M191" s="10"/>
      <c r="N191" s="8"/>
      <c r="O191" s="8"/>
    </row>
    <row r="192" spans="1:15" x14ac:dyDescent="0.2">
      <c r="A192" s="6">
        <v>45288</v>
      </c>
      <c r="B192" s="7" t="s">
        <v>4</v>
      </c>
      <c r="C192" s="8">
        <f>-1043472-C191</f>
        <v>-399108</v>
      </c>
      <c r="D192" s="9">
        <f>+$D$190</f>
        <v>882.13</v>
      </c>
      <c r="E192" s="39">
        <f t="shared" si="51"/>
        <v>-452.4367156768277</v>
      </c>
      <c r="G192" s="32"/>
      <c r="H192" s="40"/>
      <c r="I192" s="8"/>
      <c r="J192" s="8"/>
      <c r="K192" s="10"/>
      <c r="M192" s="10"/>
      <c r="N192" s="8"/>
      <c r="O192" s="8"/>
    </row>
    <row r="193" spans="1:15" x14ac:dyDescent="0.2">
      <c r="A193" s="6">
        <v>45288</v>
      </c>
      <c r="B193" s="7" t="s">
        <v>22</v>
      </c>
      <c r="C193" s="8">
        <v>-262145</v>
      </c>
      <c r="D193" s="9">
        <f t="shared" ref="D193:D198" si="55">+$D$190</f>
        <v>882.13</v>
      </c>
      <c r="E193" s="39">
        <f t="shared" si="51"/>
        <v>-297.17275231541834</v>
      </c>
      <c r="G193" s="32"/>
      <c r="H193" s="40"/>
      <c r="I193" s="8"/>
      <c r="J193" s="8"/>
      <c r="K193" s="10"/>
      <c r="M193" s="10"/>
      <c r="N193" s="8"/>
      <c r="O193" s="8"/>
    </row>
    <row r="194" spans="1:15" x14ac:dyDescent="0.2">
      <c r="A194" s="6">
        <v>45288</v>
      </c>
      <c r="B194" s="7" t="s">
        <v>79</v>
      </c>
      <c r="C194" s="8">
        <v>-1677893</v>
      </c>
      <c r="D194" s="9">
        <f t="shared" si="55"/>
        <v>882.13</v>
      </c>
      <c r="E194" s="39">
        <f t="shared" si="51"/>
        <v>-1902.0926620792854</v>
      </c>
      <c r="G194" s="32"/>
      <c r="H194" s="40"/>
      <c r="I194" s="8"/>
      <c r="J194" s="8"/>
      <c r="K194" s="10"/>
      <c r="M194" s="10"/>
      <c r="N194" s="8"/>
      <c r="O194" s="8"/>
    </row>
    <row r="195" spans="1:15" x14ac:dyDescent="0.2">
      <c r="A195" s="6">
        <v>45288</v>
      </c>
      <c r="B195" s="7" t="s">
        <v>80</v>
      </c>
      <c r="C195" s="8">
        <v>-690000</v>
      </c>
      <c r="D195" s="9">
        <f t="shared" si="55"/>
        <v>882.13</v>
      </c>
      <c r="E195" s="39">
        <f t="shared" si="51"/>
        <v>-782.19763526917802</v>
      </c>
      <c r="G195" s="32"/>
      <c r="H195" s="40"/>
      <c r="I195" s="8"/>
      <c r="J195" s="8"/>
      <c r="K195" s="10"/>
      <c r="M195" s="10"/>
      <c r="N195" s="8"/>
      <c r="O195" s="8"/>
    </row>
    <row r="196" spans="1:15" x14ac:dyDescent="0.2">
      <c r="A196" s="6">
        <v>45288</v>
      </c>
      <c r="B196" s="7" t="s">
        <v>14</v>
      </c>
      <c r="C196" s="8">
        <v>-133749</v>
      </c>
      <c r="D196" s="9">
        <f t="shared" si="55"/>
        <v>882.13</v>
      </c>
      <c r="E196" s="39">
        <f t="shared" si="51"/>
        <v>-151.62050944872072</v>
      </c>
      <c r="G196" s="32"/>
      <c r="H196" s="40"/>
      <c r="I196" s="8"/>
      <c r="J196" s="8"/>
      <c r="K196" s="10"/>
      <c r="M196" s="10"/>
      <c r="N196" s="8"/>
      <c r="O196" s="8"/>
    </row>
    <row r="197" spans="1:15" x14ac:dyDescent="0.2">
      <c r="A197" s="16">
        <v>45289</v>
      </c>
      <c r="B197" s="17" t="s">
        <v>10</v>
      </c>
      <c r="C197" s="18">
        <v>3921750</v>
      </c>
      <c r="D197" s="19">
        <f>+C197/E197</f>
        <v>871.5</v>
      </c>
      <c r="E197" s="20">
        <v>4500</v>
      </c>
      <c r="G197" s="32"/>
      <c r="H197" s="40"/>
      <c r="I197" s="8"/>
      <c r="J197" s="8"/>
      <c r="K197" s="10"/>
      <c r="M197" s="10"/>
      <c r="N197" s="8"/>
      <c r="O197" s="8"/>
    </row>
    <row r="198" spans="1:15" x14ac:dyDescent="0.2">
      <c r="A198" s="6">
        <v>45289</v>
      </c>
      <c r="B198" s="7" t="s">
        <v>81</v>
      </c>
      <c r="C198" s="8">
        <v>-542051</v>
      </c>
      <c r="D198" s="9">
        <f t="shared" si="55"/>
        <v>882.13</v>
      </c>
      <c r="E198" s="39">
        <f t="shared" si="51"/>
        <v>-614.47972521056988</v>
      </c>
      <c r="G198" s="32"/>
      <c r="H198" s="40"/>
      <c r="I198" s="8"/>
      <c r="J198" s="8"/>
      <c r="K198" s="10"/>
      <c r="M198" s="10"/>
      <c r="N198" s="8"/>
      <c r="O198" s="8"/>
    </row>
    <row r="199" spans="1:15" x14ac:dyDescent="0.2">
      <c r="A199" s="12">
        <v>45289</v>
      </c>
      <c r="B199" s="13" t="s">
        <v>81</v>
      </c>
      <c r="C199" s="22">
        <v>-3362377</v>
      </c>
      <c r="D199" s="15">
        <f>+$D$197</f>
        <v>871.5</v>
      </c>
      <c r="E199" s="38">
        <f t="shared" si="51"/>
        <v>-3858.1491681009752</v>
      </c>
      <c r="F199" s="23">
        <f>+F177+SUM(E178:E199)</f>
        <v>641.85083189906231</v>
      </c>
      <c r="G199" s="32"/>
      <c r="H199" s="40"/>
      <c r="I199" s="10"/>
      <c r="J199" s="8"/>
      <c r="K199" s="10"/>
      <c r="M199" s="10"/>
      <c r="N199" s="8"/>
      <c r="O199" s="8"/>
    </row>
    <row r="200" spans="1:15" x14ac:dyDescent="0.2">
      <c r="A200" s="6">
        <v>45300</v>
      </c>
      <c r="B200" s="7" t="s">
        <v>82</v>
      </c>
      <c r="C200" s="8">
        <v>-112545</v>
      </c>
      <c r="D200" s="9">
        <f t="shared" ref="D200:D205" si="56">+$D$197</f>
        <v>871.5</v>
      </c>
      <c r="E200" s="39">
        <f t="shared" si="51"/>
        <v>-129.1394148020654</v>
      </c>
      <c r="G200" s="32"/>
      <c r="H200" s="40"/>
      <c r="I200" s="8"/>
      <c r="J200" s="8"/>
      <c r="K200" s="10"/>
      <c r="M200" s="10"/>
      <c r="N200" s="8"/>
      <c r="O200" s="8"/>
    </row>
    <row r="201" spans="1:15" x14ac:dyDescent="0.2">
      <c r="A201" s="6">
        <v>45300</v>
      </c>
      <c r="B201" s="7" t="s">
        <v>14</v>
      </c>
      <c r="C201" s="8">
        <v>-73612</v>
      </c>
      <c r="D201" s="9">
        <f t="shared" si="56"/>
        <v>871.5</v>
      </c>
      <c r="E201" s="39">
        <f t="shared" si="51"/>
        <v>-84.46586345381526</v>
      </c>
      <c r="G201" s="32"/>
      <c r="H201" s="40"/>
      <c r="I201" s="8"/>
      <c r="J201" s="8"/>
      <c r="K201" s="10"/>
      <c r="M201" s="10"/>
      <c r="N201" s="8"/>
      <c r="O201" s="8"/>
    </row>
    <row r="202" spans="1:15" x14ac:dyDescent="0.2">
      <c r="A202" s="6">
        <v>45300</v>
      </c>
      <c r="B202" s="7" t="s">
        <v>3</v>
      </c>
      <c r="C202" s="8">
        <v>-13986</v>
      </c>
      <c r="D202" s="9">
        <f t="shared" si="56"/>
        <v>871.5</v>
      </c>
      <c r="E202" s="39">
        <f t="shared" si="51"/>
        <v>-16.048192771084338</v>
      </c>
      <c r="G202" s="32"/>
      <c r="H202" s="40"/>
      <c r="I202" s="8"/>
      <c r="J202" s="8"/>
      <c r="K202" s="10"/>
      <c r="M202" s="10"/>
      <c r="N202" s="8"/>
      <c r="O202" s="8"/>
    </row>
    <row r="203" spans="1:15" x14ac:dyDescent="0.2">
      <c r="A203" s="6">
        <v>45302</v>
      </c>
      <c r="B203" s="7" t="s">
        <v>13</v>
      </c>
      <c r="C203" s="8">
        <v>-284391</v>
      </c>
      <c r="D203" s="9">
        <f t="shared" si="56"/>
        <v>871.5</v>
      </c>
      <c r="E203" s="39">
        <f t="shared" si="51"/>
        <v>-326.3235800344234</v>
      </c>
      <c r="G203" s="32"/>
      <c r="H203" s="40"/>
      <c r="I203" s="8"/>
      <c r="J203" s="8"/>
      <c r="K203" s="10"/>
      <c r="M203" s="10"/>
      <c r="N203" s="8"/>
      <c r="O203" s="8"/>
    </row>
    <row r="204" spans="1:15" x14ac:dyDescent="0.2">
      <c r="A204" s="16">
        <v>45302</v>
      </c>
      <c r="B204" s="17" t="s">
        <v>10</v>
      </c>
      <c r="C204" s="18">
        <v>908850</v>
      </c>
      <c r="D204" s="19">
        <v>908.85</v>
      </c>
      <c r="E204" s="20">
        <f t="shared" si="51"/>
        <v>1000</v>
      </c>
      <c r="G204" s="32"/>
      <c r="H204" s="40"/>
      <c r="I204" s="8"/>
      <c r="J204" s="8"/>
      <c r="K204" s="10"/>
      <c r="M204" s="10"/>
      <c r="N204" s="8"/>
      <c r="O204" s="8"/>
    </row>
    <row r="205" spans="1:15" x14ac:dyDescent="0.2">
      <c r="A205" s="6">
        <v>45302</v>
      </c>
      <c r="B205" s="7" t="s">
        <v>56</v>
      </c>
      <c r="C205" s="8">
        <v>-74839</v>
      </c>
      <c r="D205" s="9">
        <f t="shared" si="56"/>
        <v>871.5</v>
      </c>
      <c r="E205" s="39">
        <f t="shared" si="51"/>
        <v>-85.873780837636261</v>
      </c>
      <c r="G205" s="32"/>
      <c r="H205" s="40"/>
      <c r="I205" s="8"/>
      <c r="J205" s="8"/>
      <c r="K205" s="10"/>
      <c r="M205" s="10"/>
      <c r="N205" s="8"/>
      <c r="O205" s="8"/>
    </row>
    <row r="206" spans="1:15" x14ac:dyDescent="0.2">
      <c r="A206" s="6">
        <v>45302</v>
      </c>
      <c r="B206" s="7" t="s">
        <v>56</v>
      </c>
      <c r="C206" s="8">
        <v>-375161</v>
      </c>
      <c r="D206" s="9">
        <v>908.85</v>
      </c>
      <c r="E206" s="39">
        <f t="shared" si="51"/>
        <v>-412.78648841943112</v>
      </c>
      <c r="G206" s="32"/>
      <c r="H206" s="40"/>
      <c r="I206" s="8"/>
      <c r="J206" s="8"/>
      <c r="K206" s="10"/>
      <c r="M206" s="10"/>
      <c r="N206" s="8"/>
      <c r="O206" s="8"/>
    </row>
    <row r="207" spans="1:15" x14ac:dyDescent="0.2">
      <c r="A207" s="6">
        <v>45306</v>
      </c>
      <c r="B207" s="7" t="s">
        <v>83</v>
      </c>
      <c r="C207" s="8">
        <v>-60762</v>
      </c>
      <c r="D207" s="9">
        <f>+$D$206</f>
        <v>908.85</v>
      </c>
      <c r="E207" s="39">
        <f t="shared" si="51"/>
        <v>-66.855916817956754</v>
      </c>
      <c r="G207" s="32"/>
      <c r="H207" s="40"/>
      <c r="I207" s="8"/>
      <c r="J207" s="8"/>
      <c r="K207" s="10"/>
      <c r="M207" s="10"/>
      <c r="N207" s="8"/>
      <c r="O207" s="8"/>
    </row>
    <row r="208" spans="1:15" x14ac:dyDescent="0.2">
      <c r="A208" s="6">
        <v>45306</v>
      </c>
      <c r="B208" s="7" t="s">
        <v>56</v>
      </c>
      <c r="C208" s="8">
        <v>-300000</v>
      </c>
      <c r="D208" s="9">
        <f>+$D$206</f>
        <v>908.85</v>
      </c>
      <c r="E208" s="39">
        <f t="shared" si="51"/>
        <v>-330.08747318039281</v>
      </c>
      <c r="G208" s="32"/>
      <c r="H208" s="40"/>
      <c r="I208" s="8"/>
      <c r="J208" s="8"/>
      <c r="K208" s="10"/>
      <c r="M208" s="10"/>
      <c r="N208" s="8"/>
      <c r="O208" s="8"/>
    </row>
    <row r="209" spans="1:17" x14ac:dyDescent="0.2">
      <c r="A209" s="6">
        <v>45308</v>
      </c>
      <c r="B209" s="7" t="s">
        <v>14</v>
      </c>
      <c r="C209" s="8">
        <v>-36816</v>
      </c>
      <c r="D209" s="9">
        <f t="shared" ref="D209:D218" si="57">+$D$206</f>
        <v>908.85</v>
      </c>
      <c r="E209" s="39">
        <f t="shared" si="51"/>
        <v>-40.508334708697802</v>
      </c>
      <c r="G209" s="32"/>
      <c r="H209" s="40"/>
      <c r="I209" s="8"/>
      <c r="J209" s="8"/>
      <c r="K209" s="10"/>
      <c r="M209" s="10"/>
      <c r="N209" s="8"/>
      <c r="O209" s="8"/>
    </row>
    <row r="210" spans="1:17" x14ac:dyDescent="0.2">
      <c r="A210" s="6">
        <v>45308</v>
      </c>
      <c r="B210" s="7" t="s">
        <v>3</v>
      </c>
      <c r="C210" s="8">
        <v>-6995</v>
      </c>
      <c r="D210" s="9">
        <f t="shared" si="57"/>
        <v>908.85</v>
      </c>
      <c r="E210" s="39">
        <f t="shared" si="51"/>
        <v>-7.6965395829894918</v>
      </c>
      <c r="G210" s="32"/>
      <c r="H210" s="40"/>
      <c r="I210" s="8"/>
      <c r="J210" s="8"/>
      <c r="K210" s="10"/>
      <c r="M210" s="10"/>
      <c r="N210" s="8"/>
      <c r="O210" s="8"/>
    </row>
    <row r="211" spans="1:17" x14ac:dyDescent="0.2">
      <c r="A211" s="6">
        <v>45314</v>
      </c>
      <c r="B211" s="7" t="s">
        <v>14</v>
      </c>
      <c r="C211" s="8">
        <v>-735</v>
      </c>
      <c r="D211" s="9">
        <f t="shared" si="57"/>
        <v>908.85</v>
      </c>
      <c r="E211" s="39">
        <f t="shared" si="51"/>
        <v>-0.80871430929196231</v>
      </c>
      <c r="G211" s="32"/>
      <c r="H211" s="40"/>
      <c r="I211" s="8"/>
      <c r="J211" s="8"/>
      <c r="K211" s="10"/>
      <c r="M211" s="10"/>
      <c r="N211" s="8"/>
      <c r="O211" s="8"/>
    </row>
    <row r="212" spans="1:17" x14ac:dyDescent="0.2">
      <c r="A212" s="6">
        <v>45314</v>
      </c>
      <c r="B212" s="7" t="s">
        <v>3</v>
      </c>
      <c r="C212" s="8">
        <v>-140</v>
      </c>
      <c r="D212" s="9">
        <f t="shared" si="57"/>
        <v>908.85</v>
      </c>
      <c r="E212" s="39">
        <f t="shared" si="51"/>
        <v>-0.15404082081751663</v>
      </c>
      <c r="G212" s="32"/>
      <c r="H212" s="40"/>
      <c r="I212" s="8"/>
      <c r="J212" s="8"/>
      <c r="K212" s="10"/>
      <c r="M212" s="10"/>
      <c r="N212" s="8"/>
      <c r="O212" s="8"/>
    </row>
    <row r="213" spans="1:17" x14ac:dyDescent="0.2">
      <c r="A213" s="6">
        <v>45314</v>
      </c>
      <c r="B213" s="7" t="s">
        <v>14</v>
      </c>
      <c r="C213" s="8">
        <v>-65749</v>
      </c>
      <c r="D213" s="9">
        <f t="shared" si="57"/>
        <v>908.85</v>
      </c>
      <c r="E213" s="39">
        <f t="shared" si="51"/>
        <v>-72.343070913792147</v>
      </c>
      <c r="F213" s="7"/>
      <c r="G213" s="32"/>
      <c r="H213" s="40"/>
      <c r="I213" s="8"/>
      <c r="J213" s="8"/>
      <c r="K213" s="10"/>
      <c r="M213" s="10"/>
      <c r="N213" s="8"/>
      <c r="O213" s="8"/>
    </row>
    <row r="214" spans="1:17" x14ac:dyDescent="0.2">
      <c r="A214" s="16">
        <v>45315</v>
      </c>
      <c r="B214" s="17" t="s">
        <v>56</v>
      </c>
      <c r="C214" s="18">
        <v>300000</v>
      </c>
      <c r="D214" s="19">
        <f t="shared" si="57"/>
        <v>908.85</v>
      </c>
      <c r="E214" s="20">
        <f t="shared" si="51"/>
        <v>330.08747318039281</v>
      </c>
      <c r="G214" s="32"/>
      <c r="H214" s="40"/>
      <c r="I214" s="8"/>
      <c r="J214" s="8"/>
      <c r="K214" s="10"/>
      <c r="M214" s="10"/>
      <c r="N214" s="8"/>
      <c r="O214" s="8"/>
    </row>
    <row r="215" spans="1:17" x14ac:dyDescent="0.2">
      <c r="A215" s="6">
        <v>45315</v>
      </c>
      <c r="B215" s="7" t="s">
        <v>14</v>
      </c>
      <c r="C215" s="8">
        <v>-36775</v>
      </c>
      <c r="D215" s="9">
        <f t="shared" si="57"/>
        <v>908.85</v>
      </c>
      <c r="E215" s="39">
        <f t="shared" si="51"/>
        <v>-40.463222754029815</v>
      </c>
      <c r="G215" s="32"/>
      <c r="H215" s="40"/>
      <c r="I215" s="8"/>
      <c r="J215" s="8"/>
      <c r="K215" s="10"/>
      <c r="M215" s="10"/>
      <c r="N215" s="8"/>
      <c r="O215" s="8"/>
    </row>
    <row r="216" spans="1:17" x14ac:dyDescent="0.2">
      <c r="A216" s="6">
        <v>45315</v>
      </c>
      <c r="B216" s="7" t="s">
        <v>3</v>
      </c>
      <c r="C216" s="8">
        <v>-6987</v>
      </c>
      <c r="D216" s="9">
        <f t="shared" si="57"/>
        <v>908.85</v>
      </c>
      <c r="E216" s="39">
        <f t="shared" si="51"/>
        <v>-7.6877372503713479</v>
      </c>
      <c r="G216" s="32"/>
      <c r="H216" s="40"/>
      <c r="I216" s="8"/>
      <c r="J216" s="8"/>
      <c r="K216" s="10"/>
      <c r="M216" s="10"/>
      <c r="N216" s="8"/>
      <c r="O216" s="8"/>
    </row>
    <row r="217" spans="1:17" x14ac:dyDescent="0.2">
      <c r="A217" s="16">
        <v>45322</v>
      </c>
      <c r="B217" s="17" t="s">
        <v>10</v>
      </c>
      <c r="C217" s="18">
        <v>18576000</v>
      </c>
      <c r="D217" s="19">
        <f>+C217/E217</f>
        <v>928.8</v>
      </c>
      <c r="E217" s="20">
        <v>20000</v>
      </c>
      <c r="G217" s="32"/>
      <c r="H217" s="40"/>
      <c r="I217" s="8"/>
      <c r="J217" s="8"/>
      <c r="K217" s="10"/>
      <c r="M217" s="10"/>
      <c r="N217" s="8"/>
      <c r="O217" s="8"/>
    </row>
    <row r="218" spans="1:17" x14ac:dyDescent="0.2">
      <c r="A218" s="6">
        <v>45322</v>
      </c>
      <c r="B218" s="7" t="s">
        <v>97</v>
      </c>
      <c r="C218" s="8">
        <v>-318730</v>
      </c>
      <c r="D218" s="9">
        <f t="shared" si="57"/>
        <v>908.85</v>
      </c>
      <c r="E218" s="39">
        <f t="shared" si="51"/>
        <v>-350.69593442262197</v>
      </c>
      <c r="G218" s="32"/>
      <c r="H218" s="40"/>
      <c r="I218" s="8"/>
      <c r="J218" s="8"/>
      <c r="K218" s="10"/>
      <c r="M218" s="10"/>
      <c r="N218" s="8"/>
      <c r="O218" s="8"/>
    </row>
    <row r="219" spans="1:17" x14ac:dyDescent="0.2">
      <c r="A219" s="6">
        <v>45322</v>
      </c>
      <c r="B219" s="7" t="s">
        <v>97</v>
      </c>
      <c r="C219" s="8">
        <v>-470678</v>
      </c>
      <c r="D219" s="9">
        <f>+$D$217</f>
        <v>928.8</v>
      </c>
      <c r="E219" s="39">
        <f t="shared" si="51"/>
        <v>-506.7592592592593</v>
      </c>
      <c r="G219" s="32"/>
      <c r="H219" s="40"/>
      <c r="I219" s="8"/>
      <c r="J219" s="8"/>
      <c r="K219" s="10"/>
      <c r="M219" s="10"/>
      <c r="N219" s="8"/>
      <c r="O219" s="10"/>
    </row>
    <row r="220" spans="1:17" x14ac:dyDescent="0.2">
      <c r="A220" s="12">
        <v>45322</v>
      </c>
      <c r="B220" s="13" t="s">
        <v>98</v>
      </c>
      <c r="C220" s="22">
        <v>-17891710</v>
      </c>
      <c r="D220" s="15">
        <f t="shared" ref="D220:D229" si="58">+$D$217</f>
        <v>928.8</v>
      </c>
      <c r="E220" s="38">
        <f t="shared" si="51"/>
        <v>-19263.253660637383</v>
      </c>
      <c r="F220" s="23">
        <f>+F199+SUM(E200:E220)</f>
        <v>229.98708010339556</v>
      </c>
      <c r="G220" s="32"/>
      <c r="H220" s="40"/>
      <c r="I220" s="8"/>
      <c r="J220" s="8"/>
      <c r="K220" s="10"/>
      <c r="M220" s="10"/>
      <c r="N220" s="8"/>
      <c r="O220" s="8"/>
    </row>
    <row r="221" spans="1:17" x14ac:dyDescent="0.2">
      <c r="A221" s="6">
        <v>45327</v>
      </c>
      <c r="B221" s="7" t="s">
        <v>32</v>
      </c>
      <c r="C221" s="8">
        <v>-86120</v>
      </c>
      <c r="D221" s="9">
        <f t="shared" si="58"/>
        <v>928.8</v>
      </c>
      <c r="E221" s="10">
        <f t="shared" si="51"/>
        <v>-92.721791559000863</v>
      </c>
      <c r="F221" s="11">
        <f>+F220+E221</f>
        <v>137.26528854439471</v>
      </c>
      <c r="G221" s="32"/>
      <c r="H221" s="40"/>
      <c r="I221" s="8"/>
      <c r="J221" s="8"/>
      <c r="K221" s="10"/>
      <c r="M221" s="10"/>
      <c r="N221" s="8"/>
      <c r="O221" s="8"/>
      <c r="P221" s="43"/>
      <c r="Q221" s="43"/>
    </row>
    <row r="222" spans="1:17" x14ac:dyDescent="0.2">
      <c r="D222" s="9">
        <f t="shared" si="58"/>
        <v>928.8</v>
      </c>
      <c r="E222" s="10">
        <f t="shared" si="51"/>
        <v>0</v>
      </c>
      <c r="G222" s="32"/>
      <c r="H222" s="40"/>
      <c r="I222" s="8"/>
      <c r="J222" s="8"/>
      <c r="K222" s="10"/>
      <c r="M222" s="10"/>
      <c r="N222" s="8"/>
      <c r="O222" s="8"/>
      <c r="P222" s="43"/>
      <c r="Q222" s="43"/>
    </row>
    <row r="223" spans="1:17" x14ac:dyDescent="0.2">
      <c r="D223" s="9">
        <f t="shared" si="58"/>
        <v>928.8</v>
      </c>
      <c r="E223" s="10">
        <f t="shared" si="51"/>
        <v>0</v>
      </c>
      <c r="G223" s="32"/>
      <c r="H223" s="40"/>
      <c r="I223" s="8"/>
      <c r="J223" s="8"/>
      <c r="K223" s="10"/>
      <c r="M223" s="10"/>
      <c r="N223" s="8"/>
      <c r="O223" s="8"/>
      <c r="P223" s="43"/>
      <c r="Q223" s="43"/>
    </row>
    <row r="224" spans="1:17" x14ac:dyDescent="0.2">
      <c r="D224" s="9">
        <f t="shared" si="58"/>
        <v>928.8</v>
      </c>
      <c r="E224" s="10">
        <f t="shared" si="51"/>
        <v>0</v>
      </c>
      <c r="G224" s="32"/>
      <c r="H224" s="40"/>
      <c r="I224" s="8"/>
      <c r="J224" s="8"/>
      <c r="K224" s="10"/>
      <c r="M224" s="10"/>
      <c r="N224" s="8"/>
      <c r="O224" s="8"/>
    </row>
    <row r="225" spans="3:15" x14ac:dyDescent="0.2">
      <c r="D225" s="9">
        <f t="shared" si="58"/>
        <v>928.8</v>
      </c>
      <c r="E225" s="10">
        <f t="shared" si="51"/>
        <v>0</v>
      </c>
      <c r="G225" s="32"/>
      <c r="H225" s="40"/>
      <c r="I225" s="8"/>
      <c r="J225" s="8"/>
      <c r="K225" s="10"/>
      <c r="M225" s="10"/>
      <c r="N225" s="8"/>
      <c r="O225" s="8"/>
    </row>
    <row r="226" spans="3:15" x14ac:dyDescent="0.2">
      <c r="D226" s="9">
        <f t="shared" si="58"/>
        <v>928.8</v>
      </c>
      <c r="E226" s="10">
        <f t="shared" si="51"/>
        <v>0</v>
      </c>
      <c r="G226" s="32"/>
      <c r="H226" s="40"/>
      <c r="I226" s="8"/>
      <c r="J226" s="8"/>
      <c r="K226" s="10"/>
      <c r="M226" s="10"/>
      <c r="N226" s="8"/>
      <c r="O226" s="8"/>
    </row>
    <row r="227" spans="3:15" x14ac:dyDescent="0.2">
      <c r="D227" s="9">
        <f t="shared" si="58"/>
        <v>928.8</v>
      </c>
      <c r="E227" s="10">
        <f t="shared" si="51"/>
        <v>0</v>
      </c>
      <c r="G227" s="32"/>
      <c r="H227" s="40"/>
      <c r="I227" s="8"/>
      <c r="J227" s="8"/>
      <c r="K227" s="10"/>
      <c r="M227" s="10"/>
      <c r="N227" s="8"/>
      <c r="O227" s="8"/>
    </row>
    <row r="228" spans="3:15" x14ac:dyDescent="0.2">
      <c r="D228" s="9">
        <f t="shared" si="58"/>
        <v>928.8</v>
      </c>
      <c r="E228" s="10">
        <f t="shared" si="51"/>
        <v>0</v>
      </c>
      <c r="G228" s="32"/>
      <c r="H228" s="40"/>
      <c r="I228" s="8"/>
      <c r="J228" s="8"/>
      <c r="K228" s="10"/>
      <c r="M228" s="10"/>
      <c r="N228" s="8"/>
      <c r="O228" s="8"/>
    </row>
    <row r="229" spans="3:15" x14ac:dyDescent="0.2">
      <c r="D229" s="9">
        <f t="shared" si="58"/>
        <v>928.8</v>
      </c>
      <c r="E229" s="10">
        <f t="shared" si="51"/>
        <v>0</v>
      </c>
      <c r="G229" s="32"/>
      <c r="H229" s="40"/>
      <c r="I229" s="8"/>
      <c r="J229" s="8"/>
      <c r="K229" s="10"/>
      <c r="M229" s="10"/>
      <c r="N229" s="8"/>
      <c r="O229" s="8"/>
    </row>
    <row r="230" spans="3:15" x14ac:dyDescent="0.2">
      <c r="D230" s="9"/>
      <c r="G230" s="32"/>
      <c r="H230" s="40"/>
      <c r="I230" s="8"/>
      <c r="J230" s="8"/>
      <c r="K230" s="10"/>
      <c r="M230" s="10"/>
      <c r="N230" s="8"/>
      <c r="O230" s="8"/>
    </row>
    <row r="231" spans="3:15" x14ac:dyDescent="0.2">
      <c r="D231" s="9"/>
      <c r="G231" s="32"/>
      <c r="I231" s="35"/>
      <c r="K231" s="10"/>
      <c r="M231" s="10"/>
      <c r="N231" s="8"/>
      <c r="O231" s="8"/>
    </row>
    <row r="232" spans="3:15" x14ac:dyDescent="0.2">
      <c r="C232" s="8">
        <f>SUM(C3:C231)</f>
        <v>127492</v>
      </c>
      <c r="D232" s="9"/>
      <c r="E232" s="10">
        <f>SUM(E3:E231)</f>
        <v>137.26528854436401</v>
      </c>
      <c r="G232" s="32"/>
      <c r="I232" s="35"/>
      <c r="K232" s="10"/>
      <c r="M232" s="10"/>
      <c r="N232" s="8"/>
      <c r="O232" s="8"/>
    </row>
    <row r="233" spans="3:15" x14ac:dyDescent="0.2">
      <c r="G233" s="24">
        <f>+C232/E232</f>
        <v>928.79999999996141</v>
      </c>
      <c r="I233" s="35"/>
      <c r="K233" s="10"/>
      <c r="M233" s="10"/>
      <c r="N233" s="8"/>
      <c r="O233" s="8"/>
    </row>
    <row r="234" spans="3:15" x14ac:dyDescent="0.2">
      <c r="C234" s="8" t="s">
        <v>36</v>
      </c>
      <c r="D234" s="32"/>
      <c r="E234" s="10">
        <v>78397.63</v>
      </c>
      <c r="I234" s="35"/>
      <c r="K234" s="10"/>
      <c r="M234" s="10"/>
      <c r="N234" s="8"/>
      <c r="O234" s="8"/>
    </row>
    <row r="235" spans="3:15" x14ac:dyDescent="0.2">
      <c r="I235" s="35"/>
      <c r="K235" s="10"/>
      <c r="M235" s="10"/>
    </row>
    <row r="236" spans="3:15" x14ac:dyDescent="0.2">
      <c r="D236" s="24">
        <f>+C232/E232-D229</f>
        <v>-3.8539837987627834E-11</v>
      </c>
      <c r="E236" s="10">
        <f>+E232+E234</f>
        <v>78534.895288544372</v>
      </c>
      <c r="I236" s="35"/>
      <c r="K236" s="10"/>
      <c r="M236" s="10"/>
    </row>
    <row r="237" spans="3:15" x14ac:dyDescent="0.2">
      <c r="D237" s="24"/>
      <c r="I237" s="35"/>
      <c r="K237" s="10"/>
      <c r="M237" s="10"/>
    </row>
    <row r="238" spans="3:15" x14ac:dyDescent="0.2">
      <c r="D238" s="32"/>
      <c r="I238" s="35"/>
      <c r="K238" s="10"/>
      <c r="M238" s="10"/>
    </row>
    <row r="239" spans="3:15" x14ac:dyDescent="0.2">
      <c r="I239" s="35"/>
      <c r="K239" s="10"/>
      <c r="M239" s="10"/>
    </row>
    <row r="240" spans="3:15" x14ac:dyDescent="0.2">
      <c r="D240" s="9"/>
      <c r="I240" s="35"/>
      <c r="K240" s="10"/>
      <c r="M240" s="10"/>
    </row>
    <row r="241" spans="4:13" x14ac:dyDescent="0.2">
      <c r="D241" s="35"/>
      <c r="I241" s="35"/>
      <c r="K241" s="10"/>
      <c r="M241" s="10"/>
    </row>
    <row r="242" spans="4:13" x14ac:dyDescent="0.2">
      <c r="D242" s="35"/>
      <c r="I242" s="35"/>
      <c r="K242" s="10"/>
      <c r="M242" s="10"/>
    </row>
    <row r="243" spans="4:13" x14ac:dyDescent="0.2">
      <c r="I243" s="35"/>
      <c r="K243" s="10"/>
      <c r="M243" s="10"/>
    </row>
    <row r="244" spans="4:13" x14ac:dyDescent="0.2">
      <c r="D244" s="24"/>
      <c r="I244" s="35"/>
      <c r="K244" s="10"/>
      <c r="M244" s="10"/>
    </row>
    <row r="245" spans="4:13" x14ac:dyDescent="0.2">
      <c r="I245" s="35"/>
      <c r="K245" s="10"/>
      <c r="M245" s="10"/>
    </row>
    <row r="246" spans="4:13" x14ac:dyDescent="0.2">
      <c r="I246" s="35"/>
      <c r="K246" s="10"/>
      <c r="M246" s="10"/>
    </row>
    <row r="247" spans="4:13" x14ac:dyDescent="0.2">
      <c r="I247" s="35"/>
      <c r="K247" s="10"/>
      <c r="M247" s="10"/>
    </row>
    <row r="248" spans="4:13" x14ac:dyDescent="0.2">
      <c r="I248" s="35"/>
      <c r="K248" s="10"/>
      <c r="M248" s="10"/>
    </row>
    <row r="249" spans="4:13" x14ac:dyDescent="0.2">
      <c r="I249" s="35"/>
      <c r="K249" s="10"/>
      <c r="M249" s="10"/>
    </row>
    <row r="250" spans="4:13" x14ac:dyDescent="0.2">
      <c r="I250" s="35"/>
      <c r="K250" s="10"/>
      <c r="M250" s="10"/>
    </row>
    <row r="251" spans="4:13" x14ac:dyDescent="0.2">
      <c r="K251" s="9"/>
      <c r="M251" s="10"/>
    </row>
    <row r="252" spans="4:13" x14ac:dyDescent="0.2">
      <c r="K252" s="9"/>
      <c r="M252" s="10"/>
    </row>
    <row r="253" spans="4:13" x14ac:dyDescent="0.2">
      <c r="K253" s="9"/>
      <c r="M253" s="10"/>
    </row>
    <row r="254" spans="4:13" x14ac:dyDescent="0.2">
      <c r="K254" s="9"/>
      <c r="M254" s="10"/>
    </row>
    <row r="255" spans="4:13" x14ac:dyDescent="0.2">
      <c r="K255" s="10"/>
      <c r="M255" s="10"/>
    </row>
    <row r="256" spans="4:13" x14ac:dyDescent="0.2">
      <c r="M256" s="10"/>
    </row>
    <row r="257" spans="11:13" x14ac:dyDescent="0.2">
      <c r="M257" s="10"/>
    </row>
    <row r="258" spans="11:13" x14ac:dyDescent="0.2">
      <c r="M258" s="10"/>
    </row>
    <row r="259" spans="11:13" x14ac:dyDescent="0.2">
      <c r="M259" s="10"/>
    </row>
    <row r="260" spans="11:13" x14ac:dyDescent="0.2">
      <c r="M260" s="10"/>
    </row>
    <row r="261" spans="11:13" x14ac:dyDescent="0.2">
      <c r="K261" s="35"/>
      <c r="L261" s="35"/>
      <c r="M261" s="35"/>
    </row>
    <row r="262" spans="11:13" x14ac:dyDescent="0.2">
      <c r="M262" s="24"/>
    </row>
    <row r="264" spans="11:13" x14ac:dyDescent="0.2">
      <c r="M264" s="24"/>
    </row>
    <row r="266" spans="11:13" x14ac:dyDescent="0.2">
      <c r="M266" s="10"/>
    </row>
  </sheetData>
  <autoFilter ref="A2:F197" xr:uid="{A80B6B5B-ABC1-4B09-9352-8584BEC2A553}"/>
  <phoneticPr fontId="1" type="noConversion"/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E60C-B321-4805-B736-66C228C1E9AA}">
  <dimension ref="A2:I19"/>
  <sheetViews>
    <sheetView workbookViewId="0">
      <selection activeCell="G19" sqref="G19"/>
    </sheetView>
  </sheetViews>
  <sheetFormatPr baseColWidth="10" defaultColWidth="11.5703125" defaultRowHeight="12.75" x14ac:dyDescent="0.2"/>
  <cols>
    <col min="1" max="1" width="13.85546875" style="7" bestFit="1" customWidth="1"/>
    <col min="2" max="2" width="11" style="7" bestFit="1" customWidth="1"/>
    <col min="3" max="3" width="10" style="7" bestFit="1" customWidth="1"/>
    <col min="4" max="4" width="11.140625" style="7" bestFit="1" customWidth="1"/>
    <col min="5" max="5" width="10" style="7" bestFit="1" customWidth="1"/>
    <col min="6" max="6" width="6.5703125" style="7" bestFit="1" customWidth="1"/>
    <col min="7" max="7" width="10.140625" style="7" bestFit="1" customWidth="1"/>
    <col min="8" max="16384" width="11.5703125" style="7"/>
  </cols>
  <sheetData>
    <row r="2" spans="1:9" x14ac:dyDescent="0.2">
      <c r="B2" s="44" t="s">
        <v>52</v>
      </c>
      <c r="C2" s="44"/>
      <c r="D2" s="44"/>
      <c r="E2" s="45" t="s">
        <v>53</v>
      </c>
      <c r="F2" s="45"/>
      <c r="G2" s="45"/>
    </row>
    <row r="3" spans="1:9" x14ac:dyDescent="0.2">
      <c r="B3" s="41" t="s">
        <v>8</v>
      </c>
      <c r="C3" s="41" t="s">
        <v>6</v>
      </c>
      <c r="D3" s="2" t="s">
        <v>51</v>
      </c>
      <c r="E3" s="41" t="s">
        <v>8</v>
      </c>
      <c r="F3" s="41" t="s">
        <v>35</v>
      </c>
      <c r="G3" s="2" t="s">
        <v>51</v>
      </c>
    </row>
    <row r="4" spans="1:9" x14ac:dyDescent="0.2">
      <c r="A4" s="7" t="s">
        <v>84</v>
      </c>
      <c r="B4" s="10">
        <v>50099.5</v>
      </c>
      <c r="C4" s="10">
        <f>+Divisas!F8</f>
        <v>50.008478682170534</v>
      </c>
      <c r="D4" s="42">
        <f>SUM(B4:C4)</f>
        <v>50149.508478682168</v>
      </c>
      <c r="E4" s="10">
        <v>47948.639999999999</v>
      </c>
      <c r="F4" s="10">
        <f>+Divisas!M3</f>
        <v>21.931052631578947</v>
      </c>
      <c r="G4" s="42">
        <f>SUM(E4:F4)</f>
        <v>47970.571052631582</v>
      </c>
    </row>
    <row r="5" spans="1:9" x14ac:dyDescent="0.2">
      <c r="A5" s="7" t="s">
        <v>85</v>
      </c>
      <c r="B5" s="10">
        <v>83412.259999999995</v>
      </c>
      <c r="C5" s="10">
        <f>+Divisas!F14</f>
        <v>442.10025612879667</v>
      </c>
      <c r="D5" s="42">
        <f t="shared" ref="D5:D16" si="0">SUM(B5:C5)</f>
        <v>83854.360256128784</v>
      </c>
      <c r="E5" s="10">
        <v>14178.96</v>
      </c>
      <c r="F5" s="10">
        <f>+Divisas!M3</f>
        <v>21.931052631578947</v>
      </c>
      <c r="G5" s="42">
        <f t="shared" ref="G5:G16" si="1">SUM(E5:F5)</f>
        <v>14200.891052631578</v>
      </c>
    </row>
    <row r="6" spans="1:9" x14ac:dyDescent="0.2">
      <c r="A6" s="7" t="s">
        <v>86</v>
      </c>
      <c r="B6" s="10">
        <v>177276</v>
      </c>
      <c r="C6" s="10">
        <f>+Divisas!F28</f>
        <v>67077.577914110443</v>
      </c>
      <c r="D6" s="42">
        <f t="shared" si="0"/>
        <v>244353.57791411044</v>
      </c>
      <c r="E6" s="10">
        <v>65430.66</v>
      </c>
      <c r="F6" s="10">
        <f>+Divisas!M3</f>
        <v>21.931052631578947</v>
      </c>
      <c r="G6" s="42">
        <f t="shared" si="1"/>
        <v>65452.591052631586</v>
      </c>
    </row>
    <row r="7" spans="1:9" x14ac:dyDescent="0.2">
      <c r="A7" s="7" t="s">
        <v>87</v>
      </c>
      <c r="B7" s="10">
        <v>177276</v>
      </c>
      <c r="C7" s="10">
        <f>+Divisas!F38</f>
        <v>50168.040490797561</v>
      </c>
      <c r="D7" s="42">
        <f t="shared" si="0"/>
        <v>227444.04049079755</v>
      </c>
      <c r="E7" s="10">
        <v>35722.54</v>
      </c>
      <c r="F7" s="10">
        <f>+Divisas!M3</f>
        <v>21.931052631578947</v>
      </c>
      <c r="G7" s="42">
        <f t="shared" si="1"/>
        <v>35744.471052631583</v>
      </c>
    </row>
    <row r="8" spans="1:9" x14ac:dyDescent="0.2">
      <c r="A8" s="7" t="s">
        <v>88</v>
      </c>
      <c r="B8" s="10">
        <v>156081</v>
      </c>
      <c r="C8" s="10">
        <f>+Divisas!F52</f>
        <v>13075.619322097627</v>
      </c>
      <c r="D8" s="42">
        <f t="shared" si="0"/>
        <v>169156.61932209763</v>
      </c>
      <c r="E8" s="10">
        <v>30885.39</v>
      </c>
      <c r="F8" s="10">
        <f>+Divisas!M3</f>
        <v>21.931052631578947</v>
      </c>
      <c r="G8" s="42">
        <f t="shared" si="1"/>
        <v>30907.321052631578</v>
      </c>
    </row>
    <row r="9" spans="1:9" x14ac:dyDescent="0.2">
      <c r="A9" s="7" t="s">
        <v>89</v>
      </c>
      <c r="B9" s="10">
        <v>137697</v>
      </c>
      <c r="C9" s="10">
        <f>+Divisas!F70</f>
        <v>2032.5287078448091</v>
      </c>
      <c r="D9" s="42">
        <f t="shared" si="0"/>
        <v>139729.52870784482</v>
      </c>
      <c r="E9" s="10">
        <v>11033.86</v>
      </c>
      <c r="F9" s="10">
        <f>+Divisas!M3</f>
        <v>21.931052631578947</v>
      </c>
      <c r="G9" s="42">
        <f t="shared" si="1"/>
        <v>11055.791052631579</v>
      </c>
      <c r="H9" s="24"/>
    </row>
    <row r="10" spans="1:9" x14ac:dyDescent="0.2">
      <c r="A10" s="7" t="s">
        <v>90</v>
      </c>
      <c r="B10" s="10">
        <v>53797</v>
      </c>
      <c r="C10" s="10">
        <f>+Divisas!F89</f>
        <v>3429.5822546481636</v>
      </c>
      <c r="D10" s="42">
        <f t="shared" si="0"/>
        <v>57226.582254648165</v>
      </c>
      <c r="E10" s="10">
        <v>9097.25</v>
      </c>
      <c r="F10" s="10">
        <f>+Divisas!M13</f>
        <v>91.320139213334755</v>
      </c>
      <c r="G10" s="42">
        <f t="shared" si="1"/>
        <v>9188.5701392133342</v>
      </c>
      <c r="H10" s="24"/>
    </row>
    <row r="11" spans="1:9" x14ac:dyDescent="0.2">
      <c r="A11" s="7" t="s">
        <v>91</v>
      </c>
      <c r="B11" s="10">
        <v>38897.15</v>
      </c>
      <c r="C11" s="10">
        <f>+Divisas!F108</f>
        <v>621.37102234259737</v>
      </c>
      <c r="D11" s="42">
        <f t="shared" si="0"/>
        <v>39518.521022342597</v>
      </c>
      <c r="E11" s="10">
        <v>23059.25</v>
      </c>
      <c r="F11" s="10">
        <f>+Divisas!M19</f>
        <v>59.756852103122171</v>
      </c>
      <c r="G11" s="42">
        <f t="shared" si="1"/>
        <v>23119.006852103121</v>
      </c>
      <c r="H11" s="24"/>
    </row>
    <row r="12" spans="1:9" x14ac:dyDescent="0.2">
      <c r="A12" s="7" t="s">
        <v>92</v>
      </c>
      <c r="B12" s="10">
        <v>610701.1</v>
      </c>
      <c r="C12" s="10">
        <f>+Divisas!F140</f>
        <v>176.82873171269404</v>
      </c>
      <c r="D12" s="42">
        <f t="shared" si="0"/>
        <v>610877.92873171263</v>
      </c>
      <c r="E12" s="10">
        <v>34914.92</v>
      </c>
      <c r="F12" s="10">
        <f>+Divisas!M20</f>
        <v>56.63609226594442</v>
      </c>
      <c r="G12" s="42">
        <f t="shared" si="1"/>
        <v>34971.556092265942</v>
      </c>
      <c r="H12" s="24"/>
    </row>
    <row r="13" spans="1:9" x14ac:dyDescent="0.2">
      <c r="A13" s="7" t="s">
        <v>93</v>
      </c>
      <c r="B13" s="10">
        <v>488531.3</v>
      </c>
      <c r="C13" s="10">
        <f>+Divisas!F177</f>
        <v>1097.5040276179509</v>
      </c>
      <c r="D13" s="42">
        <f t="shared" si="0"/>
        <v>489628.80402761797</v>
      </c>
      <c r="E13" s="10">
        <v>14232.28</v>
      </c>
      <c r="F13" s="10">
        <f>+Divisas!M22</f>
        <v>9.7283582089566281</v>
      </c>
      <c r="G13" s="42">
        <f t="shared" si="1"/>
        <v>14242.008358208957</v>
      </c>
      <c r="I13" s="24"/>
    </row>
    <row r="14" spans="1:9" x14ac:dyDescent="0.2">
      <c r="A14" s="7" t="s">
        <v>94</v>
      </c>
      <c r="B14" s="10">
        <v>189563.43</v>
      </c>
      <c r="C14" s="10">
        <f>+Divisas!F199</f>
        <v>641.85083189906231</v>
      </c>
      <c r="D14" s="42">
        <f t="shared" si="0"/>
        <v>190205.28083189906</v>
      </c>
      <c r="E14" s="10">
        <v>8729.42</v>
      </c>
      <c r="F14" s="10">
        <f>+Divisas!M23</f>
        <v>6.6075983717788809</v>
      </c>
      <c r="G14" s="42">
        <f t="shared" si="1"/>
        <v>8736.0275983717784</v>
      </c>
    </row>
    <row r="15" spans="1:9" x14ac:dyDescent="0.2">
      <c r="A15" s="7" t="s">
        <v>95</v>
      </c>
      <c r="B15" s="10">
        <v>78397.63</v>
      </c>
      <c r="C15" s="10">
        <f>+Divisas!F220</f>
        <v>229.98708010339556</v>
      </c>
      <c r="D15" s="42">
        <f t="shared" si="0"/>
        <v>78627.617080103402</v>
      </c>
      <c r="E15" s="10">
        <v>2862.98</v>
      </c>
      <c r="F15" s="24">
        <f>+Divisas!M24</f>
        <v>3.4868385346011332</v>
      </c>
      <c r="G15" s="42">
        <f t="shared" si="1"/>
        <v>2866.4668385346013</v>
      </c>
    </row>
    <row r="16" spans="1:9" x14ac:dyDescent="0.2">
      <c r="A16" s="7" t="s">
        <v>96</v>
      </c>
      <c r="B16" s="10">
        <v>78397.63</v>
      </c>
      <c r="C16" s="24">
        <f>+Divisas!F221</f>
        <v>137.26528854439471</v>
      </c>
      <c r="D16" s="42">
        <f t="shared" si="0"/>
        <v>78534.895288544401</v>
      </c>
      <c r="E16" s="10">
        <v>2601.8000000000002</v>
      </c>
      <c r="F16" s="24">
        <f>+Divisas!M24</f>
        <v>3.4868385346011332</v>
      </c>
      <c r="G16" s="42">
        <f t="shared" si="1"/>
        <v>2605.2868385346014</v>
      </c>
    </row>
    <row r="17" spans="4:7" x14ac:dyDescent="0.2">
      <c r="D17" s="24"/>
    </row>
    <row r="18" spans="4:7" x14ac:dyDescent="0.2">
      <c r="D18" s="24"/>
      <c r="G18" s="24"/>
    </row>
    <row r="19" spans="4:7" x14ac:dyDescent="0.2">
      <c r="D19" s="24"/>
      <c r="F19" s="24"/>
    </row>
  </sheetData>
  <mergeCells count="2">
    <mergeCell ref="B2:D2"/>
    <mergeCell ref="E2:G2"/>
  </mergeCells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84EDE-7F44-4B84-98AC-298F5EFD9461}"/>
</file>

<file path=customXml/itemProps2.xml><?xml version="1.0" encoding="utf-8"?>
<ds:datastoreItem xmlns:ds="http://schemas.openxmlformats.org/officeDocument/2006/customXml" ds:itemID="{43907FB9-25F1-4F18-BE23-0E2EB72BA2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Divisas</vt:lpstr>
      <vt:lpstr>Mensuales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Ceccotti Ponte</dc:creator>
  <cp:lastModifiedBy>Carolina Cabrera</cp:lastModifiedBy>
  <cp:lastPrinted>2024-01-25T12:22:46Z</cp:lastPrinted>
  <dcterms:created xsi:type="dcterms:W3CDTF">2015-06-05T18:19:34Z</dcterms:created>
  <dcterms:modified xsi:type="dcterms:W3CDTF">2024-02-10T04:06:28Z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2024-02-10T00:05:28Z</vt:lpwstr>
  </property>
  <property fmtid="{D5CDD505-2E9C-101B-9397-08002B2CF9AE}" pid="4" name="MSIP_Label_88606789-7178-42ed-a2cb-2f310395f8e0_Method">
    <vt:lpwstr>Privileged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ff5c1bc4-be62-4b0e-aecd-ba3e6e410c9d</vt:lpwstr>
  </property>
  <property fmtid="{D5CDD505-2E9C-101B-9397-08002B2CF9AE}" pid="8" name="MSIP_Label_88606789-7178-42ed-a2cb-2f310395f8e0_ContentBits">
    <vt:lpwstr>2</vt:lpwstr>
  </property>
</Properties>
</file>