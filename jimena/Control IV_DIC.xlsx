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jimena\"/>
    </mc:Choice>
  </mc:AlternateContent>
  <xr:revisionPtr revIDLastSave="0" documentId="13_ncr:1_{BEA29BEE-EA6F-4220-8AD5-C1D74764F8DB}" xr6:coauthVersionLast="47" xr6:coauthVersionMax="47" xr10:uidLastSave="{00000000-0000-0000-0000-000000000000}"/>
  <bookViews>
    <workbookView xWindow="45" yWindow="15" windowWidth="14400" windowHeight="15270" activeTab="1" xr2:uid="{00000000-000D-0000-FFFF-FFFF00000000}"/>
  </bookViews>
  <sheets>
    <sheet name="Liquidacion IVA" sheetId="3" r:id="rId1"/>
    <sheet name="Facturas" sheetId="1" r:id="rId2"/>
    <sheet name="Easy Point" sheetId="2" r:id="rId3"/>
  </sheets>
  <definedNames>
    <definedName name="_xlnm._FilterDatabase" localSheetId="2" hidden="1">'Easy Point'!$A$1:$J$349</definedName>
    <definedName name="_xlnm._FilterDatabase" localSheetId="1" hidden="1">Facturas!$A$277:$J$299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5" i="2" l="1"/>
  <c r="G201" i="2"/>
  <c r="D211" i="2"/>
  <c r="E83" i="2"/>
  <c r="G81" i="2"/>
  <c r="D235" i="2" l="1"/>
  <c r="G226" i="2"/>
  <c r="D84" i="2"/>
  <c r="J18" i="2" l="1"/>
  <c r="F345" i="2" l="1"/>
  <c r="F336" i="2"/>
  <c r="F310" i="2"/>
  <c r="F317" i="2"/>
  <c r="F324" i="2"/>
  <c r="F302" i="2"/>
  <c r="F289" i="2"/>
  <c r="F279" i="2"/>
  <c r="F263" i="2"/>
  <c r="F248" i="2" l="1"/>
  <c r="F240" i="2"/>
  <c r="D347" i="2"/>
  <c r="D349" i="2" s="1"/>
  <c r="F287" i="1"/>
  <c r="E287" i="1"/>
  <c r="I18" i="3"/>
  <c r="I17" i="3"/>
  <c r="J17" i="3" s="1"/>
  <c r="I19" i="3"/>
  <c r="I20" i="3"/>
  <c r="I21" i="3"/>
  <c r="I22" i="3"/>
  <c r="I23" i="3"/>
  <c r="J23" i="3" s="1"/>
  <c r="I24" i="3"/>
  <c r="J24" i="3" s="1"/>
  <c r="I16" i="3"/>
  <c r="J16" i="3" s="1"/>
  <c r="D267" i="1" l="1"/>
  <c r="F266" i="1"/>
  <c r="G266" i="1" s="1"/>
  <c r="F265" i="1"/>
  <c r="G265" i="1" s="1"/>
  <c r="F259" i="1"/>
  <c r="G259" i="1" s="1"/>
  <c r="F252" i="1"/>
  <c r="G252" i="1" s="1"/>
  <c r="F251" i="1"/>
  <c r="G251" i="1" s="1"/>
  <c r="F250" i="1"/>
  <c r="G250" i="1" s="1"/>
  <c r="F249" i="1"/>
  <c r="G249" i="1" s="1"/>
  <c r="F245" i="1"/>
  <c r="G245" i="1" s="1"/>
  <c r="F243" i="1"/>
  <c r="G243" i="1" s="1"/>
  <c r="F240" i="1"/>
  <c r="G240" i="1" s="1"/>
  <c r="F242" i="1"/>
  <c r="G242" i="1" s="1"/>
  <c r="F239" i="1"/>
  <c r="G239" i="1" s="1"/>
  <c r="D340" i="2"/>
  <c r="D332" i="2"/>
  <c r="D321" i="2"/>
  <c r="D313" i="2"/>
  <c r="D305" i="2"/>
  <c r="I45" i="2"/>
  <c r="B9" i="3" l="1"/>
  <c r="J22" i="3" s="1"/>
  <c r="B8" i="3"/>
  <c r="J21" i="3" s="1"/>
  <c r="B7" i="3"/>
  <c r="J20" i="3" s="1"/>
  <c r="B6" i="3"/>
  <c r="J19" i="3" s="1"/>
  <c r="B5" i="3"/>
  <c r="J18" i="3" s="1"/>
  <c r="F285" i="1" l="1"/>
  <c r="G285" i="1" s="1"/>
  <c r="F286" i="1" l="1"/>
  <c r="G286" i="1" s="1"/>
  <c r="G287" i="1"/>
  <c r="F288" i="1"/>
  <c r="G288" i="1" s="1"/>
  <c r="F289" i="1"/>
  <c r="G289" i="1" s="1"/>
  <c r="F290" i="1"/>
  <c r="G290" i="1" s="1"/>
  <c r="F291" i="1"/>
  <c r="G291" i="1" s="1"/>
  <c r="F284" i="1"/>
  <c r="G284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/>
  <c r="F299" i="1"/>
  <c r="G299" i="1" s="1"/>
  <c r="I36" i="2" l="1"/>
  <c r="I33" i="2"/>
  <c r="I34" i="2"/>
  <c r="I35" i="2"/>
  <c r="F280" i="1"/>
  <c r="G280" i="1" s="1"/>
  <c r="F281" i="1"/>
  <c r="G281" i="1" s="1"/>
  <c r="F263" i="1"/>
  <c r="G263" i="1" s="1"/>
  <c r="D338" i="2"/>
  <c r="D341" i="2" s="1"/>
  <c r="D330" i="2"/>
  <c r="D319" i="2"/>
  <c r="D322" i="2" s="1"/>
  <c r="D311" i="2"/>
  <c r="D314" i="2" s="1"/>
  <c r="D303" i="2"/>
  <c r="F254" i="1"/>
  <c r="E254" i="1"/>
  <c r="F283" i="1"/>
  <c r="G283" i="1" s="1"/>
  <c r="F253" i="1"/>
  <c r="E253" i="1"/>
  <c r="D333" i="2" l="1"/>
  <c r="I91" i="2" s="1"/>
  <c r="D306" i="2"/>
  <c r="I90" i="2" s="1"/>
  <c r="F231" i="1"/>
  <c r="E231" i="1"/>
  <c r="F227" i="1"/>
  <c r="E227" i="1"/>
  <c r="E267" i="1" s="1"/>
  <c r="F247" i="1"/>
  <c r="G247" i="1" s="1"/>
  <c r="F257" i="1"/>
  <c r="G257" i="1" s="1"/>
  <c r="G253" i="1"/>
  <c r="G254" i="1"/>
  <c r="F238" i="1"/>
  <c r="G238" i="1" s="1"/>
  <c r="F235" i="1"/>
  <c r="G235" i="1" s="1"/>
  <c r="F236" i="1"/>
  <c r="G236" i="1" s="1"/>
  <c r="F248" i="1"/>
  <c r="G248" i="1" s="1"/>
  <c r="F256" i="1"/>
  <c r="G256" i="1" s="1"/>
  <c r="F255" i="1"/>
  <c r="E255" i="1"/>
  <c r="F260" i="1"/>
  <c r="G260" i="1" s="1"/>
  <c r="F262" i="1"/>
  <c r="G262" i="1" s="1"/>
  <c r="F230" i="1"/>
  <c r="G230" i="1" s="1"/>
  <c r="F229" i="1"/>
  <c r="G229" i="1" s="1"/>
  <c r="F261" i="1"/>
  <c r="G261" i="1" s="1"/>
  <c r="F282" i="1"/>
  <c r="G282" i="1" s="1"/>
  <c r="F237" i="1"/>
  <c r="G237" i="1" s="1"/>
  <c r="F232" i="1"/>
  <c r="G232" i="1" s="1"/>
  <c r="F233" i="1"/>
  <c r="G233" i="1" s="1"/>
  <c r="D224" i="1"/>
  <c r="F222" i="1"/>
  <c r="G222" i="1" s="1"/>
  <c r="F199" i="1"/>
  <c r="G199" i="1" s="1"/>
  <c r="G231" i="1" l="1"/>
  <c r="G227" i="1"/>
  <c r="D292" i="2"/>
  <c r="D295" i="2" s="1"/>
  <c r="I88" i="2" s="1"/>
  <c r="F219" i="1" l="1"/>
  <c r="E219" i="1"/>
  <c r="F212" i="1"/>
  <c r="E212" i="1"/>
  <c r="D284" i="2" l="1"/>
  <c r="D274" i="2"/>
  <c r="D277" i="2" s="1"/>
  <c r="I82" i="2" s="1"/>
  <c r="F209" i="1"/>
  <c r="E209" i="1"/>
  <c r="D266" i="2"/>
  <c r="D269" i="2" s="1"/>
  <c r="I86" i="2" s="1"/>
  <c r="F206" i="1"/>
  <c r="E206" i="1"/>
  <c r="D258" i="2"/>
  <c r="D261" i="2" s="1"/>
  <c r="I85" i="2" s="1"/>
  <c r="F278" i="1"/>
  <c r="E278" i="1"/>
  <c r="D183" i="1" l="1"/>
  <c r="F169" i="1"/>
  <c r="F174" i="1"/>
  <c r="G174" i="1" s="1"/>
  <c r="F172" i="1"/>
  <c r="G172" i="1" s="1"/>
  <c r="D250" i="2"/>
  <c r="D253" i="2" s="1"/>
  <c r="I84" i="2" s="1"/>
  <c r="D242" i="2"/>
  <c r="D245" i="2" s="1"/>
  <c r="I83" i="2" s="1"/>
  <c r="F202" i="1"/>
  <c r="E202" i="1"/>
  <c r="F201" i="1"/>
  <c r="E201" i="1"/>
  <c r="E224" i="1" l="1"/>
  <c r="G169" i="1"/>
  <c r="D220" i="2"/>
  <c r="D7" i="2"/>
  <c r="D222" i="2"/>
  <c r="D234" i="2" l="1"/>
  <c r="F178" i="1"/>
  <c r="E178" i="1"/>
  <c r="D142" i="2"/>
  <c r="D17" i="2"/>
  <c r="D82" i="2"/>
  <c r="D210" i="2"/>
  <c r="D195" i="2"/>
  <c r="D186" i="2"/>
  <c r="D171" i="2"/>
  <c r="D155" i="2"/>
  <c r="D129" i="2"/>
  <c r="D121" i="2"/>
  <c r="D113" i="2"/>
  <c r="D100" i="2"/>
  <c r="D48" i="2"/>
  <c r="D173" i="2" l="1"/>
  <c r="D157" i="2"/>
  <c r="I21" i="2"/>
  <c r="D160" i="1"/>
  <c r="F138" i="1"/>
  <c r="G138" i="1" s="1"/>
  <c r="D129" i="1" l="1"/>
  <c r="D85" i="1" l="1"/>
  <c r="F168" i="1"/>
  <c r="E168" i="1"/>
  <c r="E183" i="1" s="1"/>
  <c r="D212" i="2"/>
  <c r="F153" i="1"/>
  <c r="E153" i="1"/>
  <c r="F152" i="1"/>
  <c r="D213" i="2" l="1"/>
  <c r="I79" i="2" s="1"/>
  <c r="D198" i="2"/>
  <c r="I78" i="2" s="1"/>
  <c r="F144" i="1"/>
  <c r="E144" i="1"/>
  <c r="D189" i="2"/>
  <c r="F141" i="1"/>
  <c r="E141" i="1"/>
  <c r="F140" i="1"/>
  <c r="I25" i="2"/>
  <c r="D190" i="2" l="1"/>
  <c r="I77" i="2" s="1"/>
  <c r="E160" i="1"/>
  <c r="G144" i="1"/>
  <c r="F101" i="1"/>
  <c r="F95" i="1"/>
  <c r="F124" i="1"/>
  <c r="E124" i="1"/>
  <c r="F125" i="1"/>
  <c r="F113" i="1"/>
  <c r="E113" i="1"/>
  <c r="D132" i="2"/>
  <c r="I76" i="2" s="1"/>
  <c r="D156" i="2"/>
  <c r="D158" i="2" s="1"/>
  <c r="D174" i="2" l="1"/>
  <c r="I74" i="2" s="1"/>
  <c r="G95" i="1"/>
  <c r="I72" i="2"/>
  <c r="G101" i="1"/>
  <c r="F99" i="1"/>
  <c r="D144" i="2"/>
  <c r="I16" i="2"/>
  <c r="D123" i="2"/>
  <c r="D115" i="2"/>
  <c r="D102" i="2"/>
  <c r="D85" i="2"/>
  <c r="D67" i="2"/>
  <c r="D59" i="2"/>
  <c r="D57" i="2"/>
  <c r="D35" i="2"/>
  <c r="D27" i="2"/>
  <c r="D25" i="2"/>
  <c r="D19" i="2"/>
  <c r="D20" i="2" s="1"/>
  <c r="D9" i="2"/>
  <c r="E50" i="1"/>
  <c r="F50" i="1"/>
  <c r="I12" i="2"/>
  <c r="D49" i="2"/>
  <c r="I7" i="2"/>
  <c r="D51" i="2" l="1"/>
  <c r="D145" i="2"/>
  <c r="I73" i="2" s="1"/>
  <c r="D124" i="2"/>
  <c r="I75" i="2" s="1"/>
  <c r="D28" i="2"/>
  <c r="I66" i="2" s="1"/>
  <c r="D60" i="2"/>
  <c r="I69" i="2" s="1"/>
  <c r="G50" i="1"/>
  <c r="E109" i="1"/>
  <c r="F109" i="1"/>
  <c r="E97" i="1"/>
  <c r="F97" i="1"/>
  <c r="E129" i="1" l="1"/>
  <c r="G97" i="1"/>
  <c r="F87" i="1"/>
  <c r="F73" i="1"/>
  <c r="E73" i="1"/>
  <c r="F72" i="1"/>
  <c r="D65" i="2"/>
  <c r="F53" i="1"/>
  <c r="F52" i="1"/>
  <c r="F61" i="1"/>
  <c r="F62" i="1"/>
  <c r="D33" i="2"/>
  <c r="F44" i="1"/>
  <c r="G87" i="1" l="1"/>
  <c r="D103" i="2"/>
  <c r="I71" i="2" s="1"/>
  <c r="D68" i="2"/>
  <c r="I70" i="2" s="1"/>
  <c r="D36" i="2"/>
  <c r="I67" i="2" s="1"/>
  <c r="F45" i="1"/>
  <c r="F92" i="1"/>
  <c r="F93" i="1"/>
  <c r="F90" i="1"/>
  <c r="E82" i="1"/>
  <c r="F82" i="1"/>
  <c r="D10" i="2"/>
  <c r="I62" i="2" s="1"/>
  <c r="G90" i="1" l="1"/>
  <c r="G93" i="1"/>
  <c r="D116" i="2"/>
  <c r="I65" i="2" s="1"/>
  <c r="I63" i="2"/>
  <c r="G92" i="1"/>
  <c r="G82" i="1"/>
  <c r="F49" i="1" l="1"/>
  <c r="F43" i="1"/>
  <c r="F42" i="1"/>
  <c r="E42" i="1"/>
  <c r="F83" i="1"/>
  <c r="G83" i="1" s="1"/>
  <c r="F84" i="1"/>
  <c r="G84" i="1" s="1"/>
  <c r="F80" i="1"/>
  <c r="G80" i="1" s="1"/>
  <c r="F81" i="1"/>
  <c r="G81" i="1" s="1"/>
  <c r="F78" i="1"/>
  <c r="G78" i="1" s="1"/>
  <c r="F76" i="1"/>
  <c r="G76" i="1" s="1"/>
  <c r="F74" i="1"/>
  <c r="G74" i="1" s="1"/>
  <c r="F69" i="1"/>
  <c r="G69" i="1" s="1"/>
  <c r="F26" i="1"/>
  <c r="G26" i="1" s="1"/>
  <c r="F27" i="1"/>
  <c r="G27" i="1" s="1"/>
  <c r="E21" i="1"/>
  <c r="D21" i="1"/>
  <c r="F20" i="1"/>
  <c r="G20" i="1" s="1"/>
  <c r="F19" i="1"/>
  <c r="G19" i="1" s="1"/>
  <c r="F12" i="1"/>
  <c r="G12" i="1" s="1"/>
  <c r="E10" i="1"/>
  <c r="D10" i="1"/>
  <c r="E53" i="1"/>
  <c r="E61" i="1"/>
  <c r="G62" i="1"/>
  <c r="E44" i="1"/>
  <c r="E45" i="1"/>
  <c r="E43" i="1"/>
  <c r="E40" i="1" s="1"/>
  <c r="F79" i="1"/>
  <c r="G79" i="1" s="1"/>
  <c r="F25" i="1"/>
  <c r="F29" i="1"/>
  <c r="F24" i="1"/>
  <c r="F28" i="1"/>
  <c r="F30" i="1"/>
  <c r="G30" i="1" s="1"/>
  <c r="F33" i="1"/>
  <c r="F47" i="1"/>
  <c r="G47" i="1" s="1"/>
  <c r="F46" i="1"/>
  <c r="G46" i="1" s="1"/>
  <c r="F51" i="1"/>
  <c r="F34" i="1"/>
  <c r="F35" i="1"/>
  <c r="G35" i="1" s="1"/>
  <c r="F38" i="1"/>
  <c r="G38" i="1" s="1"/>
  <c r="F39" i="1"/>
  <c r="F48" i="1"/>
  <c r="F31" i="1"/>
  <c r="F32" i="1"/>
  <c r="G32" i="1" s="1"/>
  <c r="F75" i="1"/>
  <c r="F63" i="1"/>
  <c r="G63" i="1" s="1"/>
  <c r="F65" i="1"/>
  <c r="G65" i="1" s="1"/>
  <c r="F66" i="1"/>
  <c r="F70" i="1"/>
  <c r="F71" i="1"/>
  <c r="G71" i="1" s="1"/>
  <c r="F77" i="1"/>
  <c r="G77" i="1" s="1"/>
  <c r="F64" i="1"/>
  <c r="F36" i="1"/>
  <c r="F37" i="1"/>
  <c r="F91" i="1"/>
  <c r="F89" i="1"/>
  <c r="G72" i="1"/>
  <c r="F103" i="1"/>
  <c r="F88" i="1"/>
  <c r="F94" i="1"/>
  <c r="F111" i="1"/>
  <c r="F112" i="1"/>
  <c r="F96" i="1"/>
  <c r="F110" i="1"/>
  <c r="F117" i="1"/>
  <c r="G99" i="1"/>
  <c r="F102" i="1"/>
  <c r="F100" i="1"/>
  <c r="F98" i="1"/>
  <c r="F105" i="1"/>
  <c r="F106" i="1"/>
  <c r="F108" i="1"/>
  <c r="F104" i="1"/>
  <c r="F114" i="1"/>
  <c r="F120" i="1"/>
  <c r="F116" i="1"/>
  <c r="F115" i="1"/>
  <c r="F107" i="1"/>
  <c r="F135" i="1"/>
  <c r="F121" i="1"/>
  <c r="F126" i="1"/>
  <c r="F132" i="1"/>
  <c r="G124" i="1"/>
  <c r="F119" i="1"/>
  <c r="F118" i="1"/>
  <c r="F133" i="1"/>
  <c r="F134" i="1"/>
  <c r="G134" i="1" s="1"/>
  <c r="F122" i="1"/>
  <c r="F123" i="1"/>
  <c r="F127" i="1"/>
  <c r="F128" i="1"/>
  <c r="F131" i="1"/>
  <c r="F136" i="1"/>
  <c r="F145" i="1"/>
  <c r="F149" i="1"/>
  <c r="F156" i="1"/>
  <c r="G156" i="1" s="1"/>
  <c r="F159" i="1"/>
  <c r="F163" i="1"/>
  <c r="F173" i="1"/>
  <c r="G173" i="1" s="1"/>
  <c r="F139" i="1"/>
  <c r="G139" i="1" s="1"/>
  <c r="F137" i="1"/>
  <c r="F142" i="1"/>
  <c r="F167" i="1"/>
  <c r="G167" i="1" s="1"/>
  <c r="F143" i="1"/>
  <c r="G143" i="1" s="1"/>
  <c r="F146" i="1"/>
  <c r="F147" i="1"/>
  <c r="F166" i="1"/>
  <c r="G166" i="1" s="1"/>
  <c r="F151" i="1"/>
  <c r="G152" i="1"/>
  <c r="F150" i="1"/>
  <c r="F148" i="1"/>
  <c r="G148" i="1" s="1"/>
  <c r="F162" i="1"/>
  <c r="F154" i="1"/>
  <c r="F155" i="1"/>
  <c r="F157" i="1"/>
  <c r="G157" i="1" s="1"/>
  <c r="F158" i="1"/>
  <c r="G158" i="1" s="1"/>
  <c r="F170" i="1"/>
  <c r="F164" i="1"/>
  <c r="G164" i="1" s="1"/>
  <c r="F165" i="1"/>
  <c r="G165" i="1" s="1"/>
  <c r="F171" i="1"/>
  <c r="F175" i="1"/>
  <c r="F177" i="1"/>
  <c r="F176" i="1"/>
  <c r="G176" i="1" s="1"/>
  <c r="F179" i="1"/>
  <c r="F188" i="1"/>
  <c r="G178" i="1"/>
  <c r="F186" i="1"/>
  <c r="F185" i="1"/>
  <c r="F187" i="1"/>
  <c r="F180" i="1"/>
  <c r="G180" i="1" s="1"/>
  <c r="F181" i="1"/>
  <c r="G181" i="1" s="1"/>
  <c r="F182" i="1"/>
  <c r="F198" i="1"/>
  <c r="F210" i="1"/>
  <c r="G210" i="1" s="1"/>
  <c r="G209" i="1"/>
  <c r="F203" i="1"/>
  <c r="F204" i="1"/>
  <c r="G202" i="1"/>
  <c r="F213" i="1"/>
  <c r="F200" i="1"/>
  <c r="F197" i="1"/>
  <c r="G197" i="1" s="1"/>
  <c r="F207" i="1"/>
  <c r="G207" i="1" s="1"/>
  <c r="F208" i="1"/>
  <c r="F215" i="1"/>
  <c r="G278" i="1"/>
  <c r="F279" i="1"/>
  <c r="F205" i="1"/>
  <c r="F218" i="1"/>
  <c r="G218" i="1" s="1"/>
  <c r="F194" i="1"/>
  <c r="G194" i="1" s="1"/>
  <c r="F195" i="1"/>
  <c r="F221" i="1"/>
  <c r="F211" i="1"/>
  <c r="F196" i="1"/>
  <c r="G196" i="1" s="1"/>
  <c r="F220" i="1"/>
  <c r="F226" i="1"/>
  <c r="F214" i="1"/>
  <c r="F216" i="1"/>
  <c r="G216" i="1" s="1"/>
  <c r="F223" i="1"/>
  <c r="G223" i="1" s="1"/>
  <c r="F228" i="1"/>
  <c r="F217" i="1"/>
  <c r="G217" i="1" s="1"/>
  <c r="F234" i="1"/>
  <c r="G234" i="1" s="1"/>
  <c r="F189" i="1"/>
  <c r="F190" i="1"/>
  <c r="F191" i="1"/>
  <c r="G191" i="1" s="1"/>
  <c r="F192" i="1"/>
  <c r="F193" i="1"/>
  <c r="F241" i="1"/>
  <c r="G241" i="1" s="1"/>
  <c r="F244" i="1"/>
  <c r="G244" i="1" s="1"/>
  <c r="F246" i="1"/>
  <c r="F264" i="1"/>
  <c r="G264" i="1" s="1"/>
  <c r="F258" i="1"/>
  <c r="G258" i="1" s="1"/>
  <c r="F3" i="1"/>
  <c r="F4" i="1"/>
  <c r="F5" i="1"/>
  <c r="F6" i="1"/>
  <c r="F7" i="1"/>
  <c r="F8" i="1"/>
  <c r="F9" i="1"/>
  <c r="F16" i="1"/>
  <c r="F17" i="1"/>
  <c r="F18" i="1"/>
  <c r="F14" i="1"/>
  <c r="F15" i="1"/>
  <c r="F23" i="1"/>
  <c r="F60" i="1"/>
  <c r="G60" i="1" s="1"/>
  <c r="F59" i="1"/>
  <c r="F68" i="1"/>
  <c r="F67" i="1"/>
  <c r="F54" i="1"/>
  <c r="F55" i="1"/>
  <c r="F56" i="1"/>
  <c r="F57" i="1"/>
  <c r="F58" i="1"/>
  <c r="F13" i="1"/>
  <c r="G13" i="1" s="1"/>
  <c r="G226" i="1" l="1"/>
  <c r="F267" i="1"/>
  <c r="D10" i="3" s="1"/>
  <c r="G279" i="1"/>
  <c r="F224" i="1"/>
  <c r="D9" i="3" s="1"/>
  <c r="G186" i="1"/>
  <c r="G162" i="1"/>
  <c r="F183" i="1"/>
  <c r="D8" i="3" s="1"/>
  <c r="F8" i="3" s="1"/>
  <c r="G131" i="1"/>
  <c r="F160" i="1"/>
  <c r="D7" i="3" s="1"/>
  <c r="F7" i="3" s="1"/>
  <c r="G122" i="1"/>
  <c r="G119" i="1"/>
  <c r="G126" i="1"/>
  <c r="G115" i="1"/>
  <c r="G114" i="1"/>
  <c r="G105" i="1"/>
  <c r="G128" i="1"/>
  <c r="G116" i="1"/>
  <c r="G104" i="1"/>
  <c r="G98" i="1"/>
  <c r="G89" i="1"/>
  <c r="G96" i="1"/>
  <c r="F129" i="1"/>
  <c r="D6" i="3" s="1"/>
  <c r="F6" i="3" s="1"/>
  <c r="E85" i="1"/>
  <c r="F85" i="1"/>
  <c r="D5" i="3" s="1"/>
  <c r="F5" i="3" s="1"/>
  <c r="G88" i="1"/>
  <c r="D50" i="2"/>
  <c r="G94" i="1"/>
  <c r="D40" i="1"/>
  <c r="F40" i="1"/>
  <c r="D4" i="3" s="1"/>
  <c r="F4" i="3" s="1"/>
  <c r="F21" i="1"/>
  <c r="D3" i="3" s="1"/>
  <c r="F10" i="1"/>
  <c r="G45" i="1"/>
  <c r="G49" i="1"/>
  <c r="G53" i="1"/>
  <c r="G16" i="1"/>
  <c r="G177" i="1"/>
  <c r="G255" i="1"/>
  <c r="G211" i="1"/>
  <c r="G42" i="1"/>
  <c r="G8" i="1"/>
  <c r="G190" i="1"/>
  <c r="G204" i="1"/>
  <c r="G14" i="1"/>
  <c r="G121" i="1"/>
  <c r="G36" i="1"/>
  <c r="G149" i="1"/>
  <c r="G6" i="1"/>
  <c r="G151" i="1"/>
  <c r="G117" i="1"/>
  <c r="G33" i="1"/>
  <c r="G23" i="1"/>
  <c r="G7" i="1"/>
  <c r="G5" i="1"/>
  <c r="G24" i="1"/>
  <c r="G34" i="1"/>
  <c r="G58" i="1"/>
  <c r="G57" i="1"/>
  <c r="G56" i="1"/>
  <c r="G55" i="1"/>
  <c r="G54" i="1"/>
  <c r="G67" i="1"/>
  <c r="G68" i="1"/>
  <c r="G59" i="1"/>
  <c r="G246" i="1"/>
  <c r="G220" i="1"/>
  <c r="G208" i="1"/>
  <c r="G185" i="1"/>
  <c r="G170" i="1"/>
  <c r="G146" i="1"/>
  <c r="G123" i="1"/>
  <c r="G118" i="1"/>
  <c r="G102" i="1"/>
  <c r="G109" i="1"/>
  <c r="G64" i="1"/>
  <c r="G66" i="1"/>
  <c r="G43" i="1"/>
  <c r="G31" i="1"/>
  <c r="G39" i="1"/>
  <c r="G25" i="1"/>
  <c r="G228" i="1"/>
  <c r="G206" i="1"/>
  <c r="G213" i="1"/>
  <c r="G203" i="1"/>
  <c r="G182" i="1"/>
  <c r="G179" i="1"/>
  <c r="G171" i="1"/>
  <c r="G154" i="1"/>
  <c r="G153" i="1"/>
  <c r="G140" i="1"/>
  <c r="G137" i="1"/>
  <c r="G159" i="1"/>
  <c r="G136" i="1"/>
  <c r="G132" i="1"/>
  <c r="G107" i="1"/>
  <c r="G120" i="1"/>
  <c r="G106" i="1"/>
  <c r="G111" i="1"/>
  <c r="G73" i="1"/>
  <c r="G37" i="1"/>
  <c r="G61" i="1"/>
  <c r="G193" i="1"/>
  <c r="G189" i="1"/>
  <c r="G219" i="1"/>
  <c r="G214" i="1"/>
  <c r="G221" i="1"/>
  <c r="G205" i="1"/>
  <c r="G215" i="1"/>
  <c r="G200" i="1"/>
  <c r="G201" i="1"/>
  <c r="G198" i="1"/>
  <c r="G187" i="1"/>
  <c r="G188" i="1"/>
  <c r="G175" i="1"/>
  <c r="G168" i="1"/>
  <c r="G155" i="1"/>
  <c r="G150" i="1"/>
  <c r="G141" i="1"/>
  <c r="G147" i="1"/>
  <c r="G142" i="1"/>
  <c r="G163" i="1"/>
  <c r="G145" i="1"/>
  <c r="G127" i="1"/>
  <c r="G133" i="1"/>
  <c r="G125" i="1"/>
  <c r="G135" i="1"/>
  <c r="G113" i="1"/>
  <c r="G108" i="1"/>
  <c r="G100" i="1"/>
  <c r="G110" i="1"/>
  <c r="G112" i="1"/>
  <c r="G103" i="1"/>
  <c r="G91" i="1"/>
  <c r="G52" i="1"/>
  <c r="G70" i="1"/>
  <c r="G75" i="1"/>
  <c r="G51" i="1"/>
  <c r="G28" i="1"/>
  <c r="G192" i="1"/>
  <c r="G212" i="1"/>
  <c r="G195" i="1"/>
  <c r="G44" i="1"/>
  <c r="G48" i="1"/>
  <c r="G29" i="1"/>
  <c r="G15" i="1"/>
  <c r="G18" i="1"/>
  <c r="G17" i="1"/>
  <c r="G9" i="1"/>
  <c r="G4" i="1"/>
  <c r="G3" i="1"/>
  <c r="F3" i="3" l="1"/>
  <c r="M18" i="3"/>
  <c r="G267" i="1"/>
  <c r="F10" i="3"/>
  <c r="G224" i="1"/>
  <c r="F9" i="3"/>
  <c r="G183" i="1"/>
  <c r="D52" i="2"/>
  <c r="I64" i="2" s="1"/>
  <c r="D86" i="2"/>
  <c r="D87" i="2" s="1"/>
  <c r="I68" i="2" s="1"/>
  <c r="G160" i="1"/>
  <c r="G129" i="1"/>
  <c r="G85" i="1"/>
  <c r="G40" i="1"/>
  <c r="G21" i="1"/>
  <c r="G10" i="1"/>
  <c r="D224" i="2"/>
  <c r="I80" i="2" s="1"/>
  <c r="D237" i="2"/>
  <c r="I37" i="2" l="1"/>
  <c r="I39" i="2" s="1"/>
  <c r="I81" i="2"/>
  <c r="D287" i="2"/>
  <c r="I48" i="2" s="1"/>
  <c r="I8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J18" authorId="0" shapeId="0" xr:uid="{89BE4261-05C4-40F9-81CE-03C4701485E4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valor cartola es infrior al delcarado
</t>
        </r>
      </text>
    </comment>
  </commentList>
</comments>
</file>

<file path=xl/sharedStrings.xml><?xml version="1.0" encoding="utf-8"?>
<sst xmlns="http://schemas.openxmlformats.org/spreadsheetml/2006/main" count="2105" uniqueCount="450">
  <si>
    <t>PERIODO</t>
  </si>
  <si>
    <t>CREDITO</t>
  </si>
  <si>
    <t>PLANILLA</t>
  </si>
  <si>
    <t>DIFERENCIA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</si>
  <si>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</si>
  <si>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</si>
  <si>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</si>
  <si>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</si>
  <si>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</si>
  <si>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</si>
  <si>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</si>
  <si>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</si>
  <si>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FECHA</t>
  </si>
  <si>
    <t>FACTURA</t>
  </si>
  <si>
    <t>PROVEEDOR</t>
  </si>
  <si>
    <t>NETO</t>
  </si>
  <si>
    <t>EXENTO</t>
  </si>
  <si>
    <t>IVA</t>
  </si>
  <si>
    <t>BRUTO</t>
  </si>
  <si>
    <t>DETALLE GTO</t>
  </si>
  <si>
    <t>PAGO</t>
  </si>
  <si>
    <t>MEDIO</t>
  </si>
  <si>
    <t>COMP</t>
  </si>
  <si>
    <t>000000041</t>
  </si>
  <si>
    <t>RSM CHILE LTDA</t>
  </si>
  <si>
    <t>ESTUDIO CONTABLE</t>
  </si>
  <si>
    <t>TRANSFERENCIA</t>
  </si>
  <si>
    <t>2023/03</t>
  </si>
  <si>
    <t>000000110</t>
  </si>
  <si>
    <t>000000193</t>
  </si>
  <si>
    <t>000000234</t>
  </si>
  <si>
    <t>000000235</t>
  </si>
  <si>
    <t>000000236</t>
  </si>
  <si>
    <t>000000269</t>
  </si>
  <si>
    <t>000085424</t>
  </si>
  <si>
    <t>PLAZA EL BOSQUE NUEVA LAS CONDES</t>
  </si>
  <si>
    <t>HOTEL FERNANDO</t>
  </si>
  <si>
    <t>000036018</t>
  </si>
  <si>
    <t>HOTELES DIRECTOR LTDA</t>
  </si>
  <si>
    <t>HOTEL CURSO BELDEN</t>
  </si>
  <si>
    <t>000000350</t>
  </si>
  <si>
    <t>000002098</t>
  </si>
  <si>
    <t>000326069</t>
  </si>
  <si>
    <t>SONDA SA</t>
  </si>
  <si>
    <t>EQUIPOS CISCO</t>
  </si>
  <si>
    <t>000126973</t>
  </si>
  <si>
    <t>KOLFF SPA</t>
  </si>
  <si>
    <t>EQUIPOS RITTAL</t>
  </si>
  <si>
    <t>000126975</t>
  </si>
  <si>
    <t>SERVICIOS</t>
  </si>
  <si>
    <t>006055073</t>
  </si>
  <si>
    <t>BANCO ITAU CORPBANCA</t>
  </si>
  <si>
    <t>GASTOS BANCARIOS</t>
  </si>
  <si>
    <t>DEBITO BANCO</t>
  </si>
  <si>
    <t>006063030</t>
  </si>
  <si>
    <t>000000468</t>
  </si>
  <si>
    <t>000000503</t>
  </si>
  <si>
    <t>EASY POINT LOGISTICS SPA</t>
  </si>
  <si>
    <t>SHIP 0004</t>
  </si>
  <si>
    <t>EASY POINT</t>
  </si>
  <si>
    <t>000696508</t>
  </si>
  <si>
    <t>FEDEX EXPRESS CHILE SPA</t>
  </si>
  <si>
    <t>006085902</t>
  </si>
  <si>
    <t>006097076</t>
  </si>
  <si>
    <t>003519638</t>
  </si>
  <si>
    <t>DHL EXPRESS (CHILE) LTDA</t>
  </si>
  <si>
    <t>SHIP 0005</t>
  </si>
  <si>
    <t>000062043</t>
  </si>
  <si>
    <t>ARANEDA MEZA, MARIO</t>
  </si>
  <si>
    <t>000062044</t>
  </si>
  <si>
    <t>000957357</t>
  </si>
  <si>
    <t>UPS DE CHILE LTDA</t>
  </si>
  <si>
    <t>SHIP 0008</t>
  </si>
  <si>
    <t>000957358</t>
  </si>
  <si>
    <t>SHIP 0009</t>
  </si>
  <si>
    <t>000000533</t>
  </si>
  <si>
    <t>002883004</t>
  </si>
  <si>
    <t>SERV AEROPORTUARIOS AEROSAN SA</t>
  </si>
  <si>
    <t>SHIP 0006</t>
  </si>
  <si>
    <t>000005579</t>
  </si>
  <si>
    <t>MOYA VARAS, MARINA</t>
  </si>
  <si>
    <t>003527338</t>
  </si>
  <si>
    <t>SHIP 0011</t>
  </si>
  <si>
    <t>000959089</t>
  </si>
  <si>
    <t>SHIP 0012</t>
  </si>
  <si>
    <t>000062153</t>
  </si>
  <si>
    <t>000062154</t>
  </si>
  <si>
    <t>3670087762-5</t>
  </si>
  <si>
    <t>TESORERIA GENERAL DE LA REPUBLICA</t>
  </si>
  <si>
    <t>3670088084-7</t>
  </si>
  <si>
    <t>401959436-5</t>
  </si>
  <si>
    <t>UPS</t>
  </si>
  <si>
    <t>401959437-3</t>
  </si>
  <si>
    <t>000229152</t>
  </si>
  <si>
    <t>MSL CHILE SA</t>
  </si>
  <si>
    <t>000052012</t>
  </si>
  <si>
    <t>000000551</t>
  </si>
  <si>
    <t>3670088216-5</t>
  </si>
  <si>
    <t>3670088217-3</t>
  </si>
  <si>
    <t>000000541</t>
  </si>
  <si>
    <t>0236665984</t>
  </si>
  <si>
    <t>DHL</t>
  </si>
  <si>
    <t>401963068-K</t>
  </si>
  <si>
    <t>000000564</t>
  </si>
  <si>
    <t>000000565</t>
  </si>
  <si>
    <t>000000566</t>
  </si>
  <si>
    <t>000000567</t>
  </si>
  <si>
    <t>000000599</t>
  </si>
  <si>
    <t>001280624</t>
  </si>
  <si>
    <t>MAERSK LOGISTICS SPA</t>
  </si>
  <si>
    <t>SHIP 0010</t>
  </si>
  <si>
    <t>000170809</t>
  </si>
  <si>
    <t>3670088467-2</t>
  </si>
  <si>
    <t>3670088462-1</t>
  </si>
  <si>
    <t>000000572</t>
  </si>
  <si>
    <t>000000579</t>
  </si>
  <si>
    <t>002885884</t>
  </si>
  <si>
    <t>000005627</t>
  </si>
  <si>
    <t>001283967</t>
  </si>
  <si>
    <t>SHIP 0013</t>
  </si>
  <si>
    <t>000170849</t>
  </si>
  <si>
    <t>000000587</t>
  </si>
  <si>
    <t>000062404</t>
  </si>
  <si>
    <t>000062405</t>
  </si>
  <si>
    <t>3670088511-3</t>
  </si>
  <si>
    <t>3670088536-9</t>
  </si>
  <si>
    <t>002887605</t>
  </si>
  <si>
    <t>000000607</t>
  </si>
  <si>
    <t>006154470</t>
  </si>
  <si>
    <t>DEBITO BANCARIO</t>
  </si>
  <si>
    <t>000002563</t>
  </si>
  <si>
    <t>000005653</t>
  </si>
  <si>
    <t>000000051</t>
  </si>
  <si>
    <t>GRUPO MONTECARLO SPA</t>
  </si>
  <si>
    <t>MOVILIZACION</t>
  </si>
  <si>
    <t>000062535</t>
  </si>
  <si>
    <t>000062536</t>
  </si>
  <si>
    <t>3670088717-5</t>
  </si>
  <si>
    <t>SHIP 0007</t>
  </si>
  <si>
    <t>000005670</t>
  </si>
  <si>
    <t>000062601</t>
  </si>
  <si>
    <t>000000616</t>
  </si>
  <si>
    <t>000000615</t>
  </si>
  <si>
    <t>000000635</t>
  </si>
  <si>
    <t>000025975</t>
  </si>
  <si>
    <t>TIBA CHILE SPA</t>
  </si>
  <si>
    <t>000038729</t>
  </si>
  <si>
    <t>000904648</t>
  </si>
  <si>
    <t>FAST AIR ALMACENES DE CARGA SA</t>
  </si>
  <si>
    <t>000000629</t>
  </si>
  <si>
    <t>000000754</t>
  </si>
  <si>
    <t>000127306</t>
  </si>
  <si>
    <t>003559618</t>
  </si>
  <si>
    <t>SHIP 0017</t>
  </si>
  <si>
    <t>0236719180</t>
  </si>
  <si>
    <t>000000641</t>
  </si>
  <si>
    <t>SHIP 0015</t>
  </si>
  <si>
    <t>3670088869-4</t>
  </si>
  <si>
    <t>000026188</t>
  </si>
  <si>
    <t>006186918</t>
  </si>
  <si>
    <t>000039026</t>
  </si>
  <si>
    <t>000000652</t>
  </si>
  <si>
    <t>000000653</t>
  </si>
  <si>
    <t>000770105</t>
  </si>
  <si>
    <t>DEPOCARGO SPA</t>
  </si>
  <si>
    <t>000005714</t>
  </si>
  <si>
    <t>MOYA VARAS, MARINA PATRICIA</t>
  </si>
  <si>
    <t>000000663</t>
  </si>
  <si>
    <t>SHIP 0014</t>
  </si>
  <si>
    <t>000062789</t>
  </si>
  <si>
    <t>ARANEDA MEZA, MARIO HUMBERTO</t>
  </si>
  <si>
    <t>401980354-1</t>
  </si>
  <si>
    <t>SHIP 0018</t>
  </si>
  <si>
    <t>000968962</t>
  </si>
  <si>
    <t>000000060</t>
  </si>
  <si>
    <t>000000523</t>
  </si>
  <si>
    <t>VDA SERVICES SPA</t>
  </si>
  <si>
    <t>GTOS OBRA</t>
  </si>
  <si>
    <t>3670088970-4</t>
  </si>
  <si>
    <t>000000669</t>
  </si>
  <si>
    <t>000026544</t>
  </si>
  <si>
    <t>000039244</t>
  </si>
  <si>
    <t>000000527</t>
  </si>
  <si>
    <t>000149481</t>
  </si>
  <si>
    <t>PLUSCARGO CHILE SPA</t>
  </si>
  <si>
    <t>SHIP 0016</t>
  </si>
  <si>
    <t>000050266</t>
  </si>
  <si>
    <t>000000064</t>
  </si>
  <si>
    <t>000005741</t>
  </si>
  <si>
    <t>002894951</t>
  </si>
  <si>
    <t>000005742</t>
  </si>
  <si>
    <t>3670089081-8</t>
  </si>
  <si>
    <t>3670089080-K</t>
  </si>
  <si>
    <t>000062987</t>
  </si>
  <si>
    <t>000063010</t>
  </si>
  <si>
    <t>000063011</t>
  </si>
  <si>
    <t>000000699</t>
  </si>
  <si>
    <t>000000700</t>
  </si>
  <si>
    <t>000000706</t>
  </si>
  <si>
    <t>000000677</t>
  </si>
  <si>
    <t>000911447</t>
  </si>
  <si>
    <t>000000863</t>
  </si>
  <si>
    <t>000026803</t>
  </si>
  <si>
    <t>SHIP 0019</t>
  </si>
  <si>
    <t>006214601</t>
  </si>
  <si>
    <t>000039558</t>
  </si>
  <si>
    <t>3670089248-9</t>
  </si>
  <si>
    <t>3670089254-3</t>
  </si>
  <si>
    <t>002897162</t>
  </si>
  <si>
    <t>000005777</t>
  </si>
  <si>
    <t>401988588-2</t>
  </si>
  <si>
    <t>SHIP 0020</t>
  </si>
  <si>
    <t>000972442</t>
  </si>
  <si>
    <t>000063229</t>
  </si>
  <si>
    <t>000063230</t>
  </si>
  <si>
    <t>000026967</t>
  </si>
  <si>
    <t>SHIP 0021</t>
  </si>
  <si>
    <t>000118184</t>
  </si>
  <si>
    <t>RITTAL CHILE LTDA</t>
  </si>
  <si>
    <t>000039823</t>
  </si>
  <si>
    <t>000000722</t>
  </si>
  <si>
    <t>3670089451-1</t>
  </si>
  <si>
    <t>3670089453-8</t>
  </si>
  <si>
    <t>000917526</t>
  </si>
  <si>
    <t>000005798</t>
  </si>
  <si>
    <t>000000069</t>
  </si>
  <si>
    <t>000063365</t>
  </si>
  <si>
    <t>000063366</t>
  </si>
  <si>
    <t>000000071</t>
  </si>
  <si>
    <t>000000752</t>
  </si>
  <si>
    <t>000001528</t>
  </si>
  <si>
    <t>SYNIXTOR CHILE SPA</t>
  </si>
  <si>
    <t>EQUIPOS ROXTEC</t>
  </si>
  <si>
    <t>000000759</t>
  </si>
  <si>
    <t>SHIP 0022</t>
  </si>
  <si>
    <t>002902009</t>
  </si>
  <si>
    <t>000000767</t>
  </si>
  <si>
    <t>000000768</t>
  </si>
  <si>
    <t>3670089728-6</t>
  </si>
  <si>
    <t>000000946</t>
  </si>
  <si>
    <t>000000770</t>
  </si>
  <si>
    <t>000063654</t>
  </si>
  <si>
    <t>006280352</t>
  </si>
  <si>
    <t>000000545</t>
  </si>
  <si>
    <t>006284175</t>
  </si>
  <si>
    <t>000000782</t>
  </si>
  <si>
    <t>000127618</t>
  </si>
  <si>
    <t>MATERIALES OBRA</t>
  </si>
  <si>
    <t>000000080</t>
  </si>
  <si>
    <t>DESCUENTO GARANTIA</t>
  </si>
  <si>
    <t>3670089956-4</t>
  </si>
  <si>
    <t>SHIP 0023</t>
  </si>
  <si>
    <t>000000086</t>
  </si>
  <si>
    <t>002906432</t>
  </si>
  <si>
    <t>000005885</t>
  </si>
  <si>
    <t>000063877</t>
  </si>
  <si>
    <t>000027656</t>
  </si>
  <si>
    <t>000040728</t>
  </si>
  <si>
    <t>000000820</t>
  </si>
  <si>
    <t>000107102</t>
  </si>
  <si>
    <t>SOC HOTELERA FRANCO CHILENA LTDA</t>
  </si>
  <si>
    <t>ALOJAMIENTO</t>
  </si>
  <si>
    <t>000127656</t>
  </si>
  <si>
    <t>000127657</t>
  </si>
  <si>
    <t>BODEGA + ARMADO</t>
  </si>
  <si>
    <t>000127658</t>
  </si>
  <si>
    <t>000127659</t>
  </si>
  <si>
    <t>000127660</t>
  </si>
  <si>
    <t>000127661</t>
  </si>
  <si>
    <t>000127667</t>
  </si>
  <si>
    <t>000001545</t>
  </si>
  <si>
    <t>000001103</t>
  </si>
  <si>
    <t>000000847</t>
  </si>
  <si>
    <t>006322945</t>
  </si>
  <si>
    <t>000391959</t>
  </si>
  <si>
    <t>INGENIERIA DESIMAT LIMITADA</t>
  </si>
  <si>
    <t>402009002</t>
  </si>
  <si>
    <t>SHIP 0025</t>
  </si>
  <si>
    <t>402009003</t>
  </si>
  <si>
    <t>SHIP 0026</t>
  </si>
  <si>
    <t>000981743</t>
  </si>
  <si>
    <t>000981744</t>
  </si>
  <si>
    <t>003700255</t>
  </si>
  <si>
    <t>SHIP 028</t>
  </si>
  <si>
    <t>0236849636</t>
  </si>
  <si>
    <t>SHIP 0028</t>
  </si>
  <si>
    <t>000000871</t>
  </si>
  <si>
    <t>000000872</t>
  </si>
  <si>
    <t>801395550-7</t>
  </si>
  <si>
    <t>SHIP 0024</t>
  </si>
  <si>
    <t>000754285</t>
  </si>
  <si>
    <t>000000875</t>
  </si>
  <si>
    <t>3670090298-0</t>
  </si>
  <si>
    <t>SHIP 0029</t>
  </si>
  <si>
    <t>000000089</t>
  </si>
  <si>
    <t>000000891</t>
  </si>
  <si>
    <t>000315925</t>
  </si>
  <si>
    <t>TECNOLOGIA LK SPA</t>
  </si>
  <si>
    <t>000983112</t>
  </si>
  <si>
    <t>003707495</t>
  </si>
  <si>
    <t>SHIP 0030</t>
  </si>
  <si>
    <t>012940776</t>
  </si>
  <si>
    <t>BCI SEGUROS GENERALES SA</t>
  </si>
  <si>
    <t>SEGURO CAUCION</t>
  </si>
  <si>
    <t>0236860793</t>
  </si>
  <si>
    <t>000000898</t>
  </si>
  <si>
    <t>000000899</t>
  </si>
  <si>
    <t>SHIP 027</t>
  </si>
  <si>
    <t>006353891</t>
  </si>
  <si>
    <t>000064262</t>
  </si>
  <si>
    <t>801396868-4</t>
  </si>
  <si>
    <t>SHIP 0027</t>
  </si>
  <si>
    <t>000755647</t>
  </si>
  <si>
    <t>SHIP 0035</t>
  </si>
  <si>
    <t>000001230</t>
  </si>
  <si>
    <t>236872222</t>
  </si>
  <si>
    <t>003715500</t>
  </si>
  <si>
    <t>000000913</t>
  </si>
  <si>
    <t>003715118</t>
  </si>
  <si>
    <t>SHIP 0034</t>
  </si>
  <si>
    <t>236873134</t>
  </si>
  <si>
    <t>000000917</t>
  </si>
  <si>
    <t>003714892</t>
  </si>
  <si>
    <t>SHIP 0032</t>
  </si>
  <si>
    <t>000005982</t>
  </si>
  <si>
    <t>003717334</t>
  </si>
  <si>
    <t>SHIP 0033</t>
  </si>
  <si>
    <t>000005986</t>
  </si>
  <si>
    <t>000000918</t>
  </si>
  <si>
    <t>000000919</t>
  </si>
  <si>
    <t>000000095</t>
  </si>
  <si>
    <t>ALQUILER AUTO</t>
  </si>
  <si>
    <t>000033318</t>
  </si>
  <si>
    <t>VIONIX INGENIERIA LTDA</t>
  </si>
  <si>
    <t>000003617</t>
  </si>
  <si>
    <t>INTERLOG ELECTRONICA LTDA</t>
  </si>
  <si>
    <t>000064474</t>
  </si>
  <si>
    <t>000064475</t>
  </si>
  <si>
    <t>3670090509-2</t>
  </si>
  <si>
    <t>402020826</t>
  </si>
  <si>
    <t>SHIP 0036</t>
  </si>
  <si>
    <t>3670090514-9</t>
  </si>
  <si>
    <t>000000948</t>
  </si>
  <si>
    <t>000000947</t>
  </si>
  <si>
    <t>000033536</t>
  </si>
  <si>
    <t>000987340</t>
  </si>
  <si>
    <t>000230611</t>
  </si>
  <si>
    <t>ASESORES EN VIAJES SA</t>
  </si>
  <si>
    <t>GASTO MOVILIZACION</t>
  </si>
  <si>
    <t>000230612</t>
  </si>
  <si>
    <t>000000955</t>
  </si>
  <si>
    <t>000000954</t>
  </si>
  <si>
    <t>000000953</t>
  </si>
  <si>
    <t>000000952</t>
  </si>
  <si>
    <t>SHIP 0031</t>
  </si>
  <si>
    <t>SONDA</t>
  </si>
  <si>
    <t>PESCO CAPACITACIONES SPA</t>
  </si>
  <si>
    <t>CAPACITACIONES</t>
  </si>
  <si>
    <t>PAGOS MULTIPLES</t>
  </si>
  <si>
    <t>SALDO</t>
  </si>
  <si>
    <t>MENSAJERIA</t>
  </si>
  <si>
    <t>IMPO</t>
  </si>
  <si>
    <t>TRANSFERENCIA BANCARIA</t>
  </si>
  <si>
    <t>VS SHIPS</t>
  </si>
  <si>
    <t>descontado doble</t>
  </si>
  <si>
    <t>saldo mail 15/09</t>
  </si>
  <si>
    <t>saldo revisado c/ Caro 25/09</t>
  </si>
  <si>
    <t>ok mail 06/10</t>
  </si>
  <si>
    <t>SALDOS A FAVOR SIN USAR</t>
  </si>
  <si>
    <t>GENERAL SALDOS</t>
  </si>
  <si>
    <t xml:space="preserve">COMPENSACIÓN </t>
  </si>
  <si>
    <t>SHIP 0001</t>
  </si>
  <si>
    <t>SHIP 0002</t>
  </si>
  <si>
    <t>SHIP 0003</t>
  </si>
  <si>
    <t>SHIP 0037</t>
  </si>
  <si>
    <t>SHIP 0038</t>
  </si>
  <si>
    <t>SHIP 0039</t>
  </si>
  <si>
    <t>SHIP 0040</t>
  </si>
  <si>
    <t>SHIP 0041</t>
  </si>
  <si>
    <t>SHIP 0042</t>
  </si>
  <si>
    <t>SHIP 0043</t>
  </si>
  <si>
    <t>SHIP 0044</t>
  </si>
  <si>
    <t>SHIP 017</t>
  </si>
  <si>
    <t>SHIP 018</t>
  </si>
  <si>
    <t>SHIP 015</t>
  </si>
  <si>
    <t>A FAVOR PSC</t>
  </si>
  <si>
    <t>SHIP 014</t>
  </si>
  <si>
    <t>SHIP 016</t>
  </si>
  <si>
    <t>SHIP 019</t>
  </si>
  <si>
    <t>SHIP 020</t>
  </si>
  <si>
    <t>SHIP 021</t>
  </si>
  <si>
    <t>SHIP 022</t>
  </si>
  <si>
    <t>ok</t>
  </si>
  <si>
    <t>SHIP 024</t>
  </si>
  <si>
    <t>SHIP 029</t>
  </si>
  <si>
    <t>SHIP 030</t>
  </si>
  <si>
    <t>SHIP 032</t>
  </si>
  <si>
    <t>SHIP 035</t>
  </si>
  <si>
    <t>SHIP 034</t>
  </si>
  <si>
    <t>SHIP 033</t>
  </si>
  <si>
    <t>SHIP 036</t>
  </si>
  <si>
    <t>132</t>
  </si>
  <si>
    <t>HERNAN CANTOR</t>
  </si>
  <si>
    <t>HON PROF</t>
  </si>
  <si>
    <t>2023/12</t>
  </si>
  <si>
    <t>SHIP 031</t>
  </si>
  <si>
    <t>000033221</t>
  </si>
  <si>
    <t>PAGO RENDICION - VER!!</t>
  </si>
  <si>
    <t>000033294</t>
  </si>
  <si>
    <t>012978767</t>
  </si>
  <si>
    <t>006376311</t>
  </si>
  <si>
    <t>DEBITO CUENTA</t>
  </si>
  <si>
    <t>019897253</t>
  </si>
  <si>
    <t>CENCOSUD RETAIL SA</t>
  </si>
  <si>
    <t>GTOS MOVILIZACION</t>
  </si>
  <si>
    <t>019897262</t>
  </si>
  <si>
    <t>005026226</t>
  </si>
  <si>
    <t>PERSONAL COMPUTER FACTORY SA</t>
  </si>
  <si>
    <t>006389273</t>
  </si>
  <si>
    <t>020039143</t>
  </si>
  <si>
    <t>019897287</t>
  </si>
  <si>
    <t>013048570</t>
  </si>
  <si>
    <t>020083630</t>
  </si>
  <si>
    <t>020083641</t>
  </si>
  <si>
    <t>000343259</t>
  </si>
  <si>
    <t>000003442</t>
  </si>
  <si>
    <t>DEBITOS</t>
  </si>
  <si>
    <t>CRÉDITOS</t>
  </si>
  <si>
    <t>TOTAL</t>
  </si>
  <si>
    <t>562 - MONTO SIN DERECHO A CRÉDITO FISCAL</t>
  </si>
  <si>
    <t>520 - CREDITOS RECIBIDOS Y REINTEGRADOS</t>
  </si>
  <si>
    <t>544 - RECUPERO IMPUESTO AL DIESEL</t>
  </si>
  <si>
    <t>779 - MONTO DE IVA POSTERGADO</t>
  </si>
  <si>
    <t>528 - NOTAS DE CRÉDITO</t>
  </si>
  <si>
    <t>535 - CREDITOS, RECUPEROS Y REINTEGROS</t>
  </si>
  <si>
    <t>CRED ANT</t>
  </si>
  <si>
    <t>402029597</t>
  </si>
  <si>
    <t>Easy Point</t>
  </si>
  <si>
    <t>991115</t>
  </si>
  <si>
    <t>000991115</t>
  </si>
  <si>
    <t>SHIP 037</t>
  </si>
  <si>
    <t>1331</t>
  </si>
  <si>
    <t>000128040</t>
  </si>
  <si>
    <t>C-04723-RM</t>
  </si>
  <si>
    <t>factuas emitidas al rut de kolff</t>
  </si>
  <si>
    <t xml:space="preserve">SALDO </t>
  </si>
  <si>
    <t>NUMERO</t>
  </si>
  <si>
    <t>TITULAR</t>
  </si>
  <si>
    <t>MONTO</t>
  </si>
  <si>
    <t xml:space="preserve">SHIP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</si>
</sst>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sz val="9"/>
      <color theme="4" tint="-0.499984740745262"/>
      <name val="Arial"/>
      <family val="2"/>
    </font>
    <font>
      <u/>
      <sz val="9"/>
      <color theme="1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5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1" fillId="0" borderId="0" xfId="0" applyNumberFormat="1" applyFont="1"/>
    <xf numFmtId="49" fontId="2" fillId="0" borderId="0" xfId="0" applyNumberFormat="1" applyFont="1" applyAlignment="1">
      <alignment horizontal="center"/>
    </xf>
    <xf numFmtId="49" fontId="1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/>
    <xf numFmtId="49" fontId="1" fillId="0" borderId="0" xfId="0" quotePrefix="1" applyNumberFormat="1" applyFont="1"/>
    <xf numFmtId="0" fontId="1" fillId="0" borderId="0" xfId="0" applyFont="1" applyAlignment="1">
      <alignment horizontal="center"/>
    </xf>
    <xf numFmtId="164" fontId="1" fillId="0" borderId="1" xfId="0" applyNumberFormat="1" applyFont="1" applyBorder="1"/>
    <xf numFmtId="14" fontId="1" fillId="0" borderId="1" xfId="0" applyNumberFormat="1" applyFont="1" applyBorder="1"/>
    <xf numFmtId="49" fontId="1" fillId="0" borderId="1" xfId="0" applyNumberFormat="1" applyFont="1" applyBorder="1"/>
    <xf numFmtId="0" fontId="1" fillId="0" borderId="1" xfId="0" applyFont="1" applyBorder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49" fontId="4" fillId="0" borderId="0" xfId="0" quotePrefix="1" applyNumberFormat="1" applyFont="1"/>
    <xf numFmtId="49" fontId="1" fillId="0" borderId="1" xfId="0" quotePrefix="1" applyNumberFormat="1" applyFont="1" applyBorder="1"/>
    <xf numFmtId="14" fontId="5" fillId="2" borderId="0" xfId="0" applyNumberFormat="1" applyFont="1" applyFill="1"/>
    <xf numFmtId="49" fontId="5" fillId="2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0" fontId="6" fillId="0" borderId="0" xfId="0" applyFont="1"/>
    <xf numFmtId="164" fontId="1" fillId="3" borderId="0" xfId="0" applyNumberFormat="1" applyFont="1" applyFill="1"/>
    <xf numFmtId="164" fontId="1" fillId="4" borderId="0" xfId="0" applyNumberFormat="1" applyFont="1" applyFill="1"/>
    <xf numFmtId="0" fontId="1" fillId="0" borderId="2" xfId="0" applyFont="1" applyBorder="1" applyAlignment="1">
      <alignment horizontal="center"/>
    </xf>
    <xf numFmtId="164" fontId="4" fillId="0" borderId="1" xfId="0" applyNumberFormat="1" applyFont="1" applyBorder="1"/>
    <xf numFmtId="164" fontId="7" fillId="0" borderId="0" xfId="0" applyNumberFormat="1" applyFont="1"/>
    <xf numFmtId="0" fontId="7" fillId="0" borderId="0" xfId="0" applyFont="1"/>
    <xf numFmtId="0" fontId="1" fillId="0" borderId="0" xfId="0" quotePrefix="1" applyFont="1"/>
    <xf numFmtId="14" fontId="7" fillId="0" borderId="0" xfId="0" applyNumberFormat="1" applyFont="1"/>
    <xf numFmtId="9" fontId="1" fillId="0" borderId="0" xfId="1" applyFont="1"/>
    <xf numFmtId="49" fontId="4" fillId="0" borderId="0" xfId="0" applyNumberFormat="1" applyFont="1"/>
    <xf numFmtId="14" fontId="4" fillId="0" borderId="1" xfId="0" applyNumberFormat="1" applyFont="1" applyBorder="1"/>
    <xf numFmtId="49" fontId="4" fillId="0" borderId="1" xfId="0" quotePrefix="1" applyNumberFormat="1" applyFont="1" applyBorder="1"/>
    <xf numFmtId="0" fontId="4" fillId="0" borderId="1" xfId="0" applyFont="1" applyBorder="1"/>
    <xf numFmtId="49" fontId="7" fillId="0" borderId="0" xfId="0" quotePrefix="1" applyNumberFormat="1" applyFont="1"/>
    <xf numFmtId="49" fontId="7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4" fontId="2" fillId="0" borderId="1" xfId="0" applyNumberFormat="1" applyFont="1" applyBorder="1"/>
    <xf numFmtId="164" fontId="2" fillId="4" borderId="0" xfId="0" applyNumberFormat="1" applyFont="1" applyFill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9" fillId="0" borderId="1" xfId="0" applyNumberFormat="1" applyFont="1" applyBorder="1"/>
    <xf numFmtId="164" fontId="9" fillId="0" borderId="0" xfId="0" applyNumberFormat="1" applyFont="1"/>
    <xf numFmtId="14" fontId="2" fillId="0" borderId="0" xfId="0" applyNumberFormat="1" applyFont="1"/>
    <xf numFmtId="164" fontId="1" fillId="5" borderId="0" xfId="0" applyNumberFormat="1" applyFont="1" applyFill="1"/>
    <xf numFmtId="164" fontId="2" fillId="5" borderId="0" xfId="0" applyNumberFormat="1" applyFont="1" applyFill="1"/>
    <xf numFmtId="164" fontId="2" fillId="5" borderId="1" xfId="0" applyNumberFormat="1" applyFont="1" applyFill="1" applyBorder="1"/>
    <xf numFmtId="164" fontId="1" fillId="5" borderId="1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DBC5-5530-4BD2-9726-98344772D730}">
  <dimension ref="A2:O33"/>
  <sheetViews>
    <sheetView topLeftCell="A34" workbookViewId="0">
      <selection activeCell="E11" sqref="E11"/>
    </sheetView>
  </sheetViews>
  <sheetFormatPr baseColWidth="10" defaultColWidth="11.5703125" defaultRowHeight="12" x14ac:dyDescent="0.2"/>
  <cols>
    <col min="1" max="1" width="14.5703125" style="1" bestFit="1" customWidth="1"/>
    <col min="2" max="2" width="12.42578125" style="1" bestFit="1" customWidth="1"/>
    <col min="3" max="3" width="11.5703125" style="1"/>
    <col min="4" max="4" width="12.42578125" style="1" bestFit="1" customWidth="1"/>
    <col min="5" max="5" width="11.5703125" style="1"/>
    <col min="6" max="6" width="12.42578125" style="1" bestFit="1" customWidth="1"/>
    <col min="7" max="8" width="11.5703125" style="1"/>
    <col min="9" max="10" width="12.42578125" style="1" bestFit="1" customWidth="1"/>
    <col min="11" max="11" width="11.5703125" style="1"/>
    <col min="12" max="12" width="12.42578125" style="1" bestFit="1" customWidth="1"/>
    <col min="13" max="16384" width="11.5703125" style="1"/>
  </cols>
  <sheetData>
    <row r="2" spans="1:15" x14ac:dyDescent="0.2">
      <c r="A2" s="27" t="s">
        <v>0</v>
      </c>
      <c r="B2" s="27" t="s">
        <v>1</v>
      </c>
      <c r="D2" s="27" t="s">
        <v>2</v>
      </c>
      <c r="E2" s="10"/>
      <c r="F2" s="27" t="s">
        <v>3</v>
      </c>
    </row>
    <row r="3" spans="1:15" x14ac:dyDescent="0.2">
      <c r="A3" s="1" t="s">
        <v>4</v>
      </c>
      <c r="B3" s="8">
        <v>28581391</v>
      </c>
      <c r="D3" s="8">
        <f>+Facturas!F21</f>
        <v>28581386.879999999</v>
      </c>
      <c r="F3" s="8">
        <f t="shared" ref="F3:F10" si="0">+B3-D3</f>
        <v>4.1200000010430813</v>
      </c>
    </row>
    <row r="4" spans="1:15" x14ac:dyDescent="0.2">
      <c r="A4" s="1" t="s">
        <v>5</v>
      </c>
      <c r="B4" s="8">
        <v>371481</v>
      </c>
      <c r="C4" s="8"/>
      <c r="D4" s="8">
        <f>+Facturas!F40</f>
        <v>371480.97</v>
      </c>
      <c r="F4" s="8">
        <f t="shared" si="0"/>
        <v>3.0000000027939677E-2</v>
      </c>
    </row>
    <row r="5" spans="1:15" x14ac:dyDescent="0.2">
      <c r="A5" s="1" t="s">
        <v>6</v>
      </c>
      <c r="B5" s="8">
        <f>804156-15609+30671852</f>
        <v>31460399</v>
      </c>
      <c r="C5" s="8"/>
      <c r="D5" s="8">
        <f>+Facturas!F85</f>
        <v>37701349.393299997</v>
      </c>
      <c r="F5" s="8">
        <f t="shared" si="0"/>
        <v>-6240950.3932999969</v>
      </c>
    </row>
    <row r="6" spans="1:15" x14ac:dyDescent="0.2">
      <c r="A6" s="1" t="s">
        <v>7</v>
      </c>
      <c r="B6" s="8">
        <f>2690212-65454+14067870</f>
        <v>16692628</v>
      </c>
      <c r="C6" s="8"/>
      <c r="D6" s="8">
        <f>+Facturas!F129</f>
        <v>10451678.6742</v>
      </c>
      <c r="F6" s="8">
        <f t="shared" si="0"/>
        <v>6240949.3257999998</v>
      </c>
    </row>
    <row r="7" spans="1:15" x14ac:dyDescent="0.2">
      <c r="A7" s="1" t="s">
        <v>8</v>
      </c>
      <c r="B7" s="8">
        <f>635057+21085798</f>
        <v>21720855</v>
      </c>
      <c r="C7" s="8"/>
      <c r="D7" s="8">
        <f>+Facturas!F160</f>
        <v>21720853.002899997</v>
      </c>
      <c r="F7" s="8">
        <f t="shared" si="0"/>
        <v>1.9971000030636787</v>
      </c>
    </row>
    <row r="8" spans="1:15" x14ac:dyDescent="0.2">
      <c r="A8" s="1" t="s">
        <v>9</v>
      </c>
      <c r="B8" s="8">
        <f>1549483-8112+2286704</f>
        <v>3828075</v>
      </c>
      <c r="C8" s="8"/>
      <c r="D8" s="8">
        <f>+Facturas!F183</f>
        <v>3828072.8137000008</v>
      </c>
      <c r="F8" s="8">
        <f t="shared" si="0"/>
        <v>2.1862999992445111</v>
      </c>
    </row>
    <row r="9" spans="1:15" x14ac:dyDescent="0.2">
      <c r="A9" s="1" t="s">
        <v>10</v>
      </c>
      <c r="B9" s="8">
        <f>12095793+2048376</f>
        <v>14144169</v>
      </c>
      <c r="C9" s="8"/>
      <c r="D9" s="8">
        <f>+Facturas!F224</f>
        <v>14144168.456999995</v>
      </c>
      <c r="F9" s="8">
        <f t="shared" si="0"/>
        <v>0.5430000051856041</v>
      </c>
    </row>
    <row r="10" spans="1:15" x14ac:dyDescent="0.2">
      <c r="A10" s="1" t="s">
        <v>11</v>
      </c>
      <c r="B10" s="8">
        <v>1176728</v>
      </c>
      <c r="C10" s="8"/>
      <c r="D10" s="8">
        <f>+Facturas!F267</f>
        <v>4064811.8983</v>
      </c>
      <c r="F10" s="8">
        <f t="shared" si="0"/>
        <v>-2888083.8983</v>
      </c>
    </row>
    <row r="11" spans="1:15" x14ac:dyDescent="0.2">
      <c r="A11" s="1" t="s">
        <v>404</v>
      </c>
      <c r="B11" s="8"/>
      <c r="C11" s="8"/>
      <c r="D11" s="8"/>
    </row>
    <row r="12" spans="1:15" x14ac:dyDescent="0.2">
      <c r="B12" s="8"/>
      <c r="C12" s="8"/>
      <c r="D12" s="8"/>
    </row>
    <row r="13" spans="1:15" x14ac:dyDescent="0.2">
      <c r="B13" s="8"/>
      <c r="C13" s="8"/>
    </row>
    <row r="14" spans="1:15" x14ac:dyDescent="0.2">
      <c r="A14" s="50" t="s">
        <v>0</v>
      </c>
      <c r="B14" s="44" t="s">
        <v>426</v>
      </c>
      <c r="C14" s="8" t="s">
        <v>427</v>
      </c>
      <c r="D14" s="8"/>
      <c r="E14" s="8"/>
      <c r="F14" s="8"/>
      <c r="G14" s="8"/>
      <c r="H14" s="8"/>
      <c r="L14" s="10" t="s">
        <v>435</v>
      </c>
    </row>
    <row r="15" spans="1:15" x14ac:dyDescent="0.2">
      <c r="A15" s="51"/>
      <c r="B15" s="41">
        <v>563</v>
      </c>
      <c r="C15" s="42">
        <v>562</v>
      </c>
      <c r="D15" s="42">
        <v>520</v>
      </c>
      <c r="E15" s="42">
        <v>528</v>
      </c>
      <c r="F15" s="42">
        <v>535</v>
      </c>
      <c r="G15" s="42">
        <v>544</v>
      </c>
      <c r="H15" s="43">
        <v>779</v>
      </c>
      <c r="I15" s="45" t="s">
        <v>428</v>
      </c>
      <c r="J15" s="40"/>
      <c r="K15" s="40"/>
      <c r="L15" s="40">
        <v>504</v>
      </c>
      <c r="M15" s="40"/>
      <c r="N15" s="40"/>
      <c r="O15" s="40"/>
    </row>
    <row r="16" spans="1:15" x14ac:dyDescent="0.2">
      <c r="A16" s="1" t="s">
        <v>4</v>
      </c>
      <c r="B16" s="8">
        <v>0</v>
      </c>
      <c r="C16" s="8">
        <v>2529312</v>
      </c>
      <c r="D16" s="8">
        <v>28581391</v>
      </c>
      <c r="E16" s="8">
        <v>0</v>
      </c>
      <c r="F16" s="8">
        <v>0</v>
      </c>
      <c r="G16" s="8">
        <v>0</v>
      </c>
      <c r="H16" s="8">
        <v>0</v>
      </c>
      <c r="I16" s="8">
        <f t="shared" ref="I16:I24" si="1">SUM(D16:H16)</f>
        <v>28581391</v>
      </c>
      <c r="J16" s="8">
        <f t="shared" ref="J16:J24" si="2">+B3-I16</f>
        <v>0</v>
      </c>
      <c r="L16" s="8">
        <v>0</v>
      </c>
    </row>
    <row r="17" spans="1:13" x14ac:dyDescent="0.2">
      <c r="A17" s="1" t="s">
        <v>5</v>
      </c>
      <c r="B17" s="8">
        <v>0</v>
      </c>
      <c r="C17" s="8">
        <v>722970</v>
      </c>
      <c r="D17" s="8">
        <v>371481</v>
      </c>
      <c r="E17" s="8">
        <v>0</v>
      </c>
      <c r="F17" s="8">
        <v>0</v>
      </c>
      <c r="G17" s="8">
        <v>0</v>
      </c>
      <c r="H17" s="8">
        <v>0</v>
      </c>
      <c r="I17" s="8">
        <f t="shared" si="1"/>
        <v>371481</v>
      </c>
      <c r="J17" s="8">
        <f t="shared" si="2"/>
        <v>0</v>
      </c>
      <c r="L17" s="8">
        <v>0</v>
      </c>
    </row>
    <row r="18" spans="1:13" x14ac:dyDescent="0.2">
      <c r="A18" s="1" t="s">
        <v>6</v>
      </c>
      <c r="B18" s="8">
        <v>0</v>
      </c>
      <c r="C18" s="8">
        <v>3679423</v>
      </c>
      <c r="D18" s="8">
        <v>804156</v>
      </c>
      <c r="E18" s="8">
        <v>-15609</v>
      </c>
      <c r="F18" s="8">
        <v>30671852</v>
      </c>
      <c r="G18" s="8">
        <v>0</v>
      </c>
      <c r="H18" s="8">
        <v>0</v>
      </c>
      <c r="I18" s="8">
        <f t="shared" si="1"/>
        <v>31460399</v>
      </c>
      <c r="J18" s="8">
        <f t="shared" si="2"/>
        <v>0</v>
      </c>
      <c r="L18" s="8">
        <v>35314377</v>
      </c>
      <c r="M18" s="8">
        <f>+D3+D4-L18</f>
        <v>-6361509.1500000022</v>
      </c>
    </row>
    <row r="19" spans="1:13" x14ac:dyDescent="0.2">
      <c r="A19" s="1" t="s">
        <v>7</v>
      </c>
      <c r="B19" s="8"/>
      <c r="C19" s="8"/>
      <c r="D19" s="8"/>
      <c r="E19" s="8"/>
      <c r="F19" s="8"/>
      <c r="G19" s="8"/>
      <c r="H19" s="8"/>
      <c r="I19" s="8">
        <f t="shared" si="1"/>
        <v>0</v>
      </c>
      <c r="J19" s="8">
        <f t="shared" si="2"/>
        <v>16692628</v>
      </c>
      <c r="L19" s="8"/>
    </row>
    <row r="20" spans="1:13" x14ac:dyDescent="0.2">
      <c r="A20" s="1" t="s">
        <v>8</v>
      </c>
      <c r="B20" s="8"/>
      <c r="C20" s="8"/>
      <c r="D20" s="8"/>
      <c r="E20" s="8"/>
      <c r="F20" s="8"/>
      <c r="G20" s="8"/>
      <c r="H20" s="8"/>
      <c r="I20" s="8">
        <f t="shared" si="1"/>
        <v>0</v>
      </c>
      <c r="J20" s="8">
        <f t="shared" si="2"/>
        <v>21720855</v>
      </c>
      <c r="L20" s="8"/>
    </row>
    <row r="21" spans="1:13" x14ac:dyDescent="0.2">
      <c r="A21" s="1" t="s">
        <v>9</v>
      </c>
      <c r="B21" s="8"/>
      <c r="C21" s="8"/>
      <c r="D21" s="8"/>
      <c r="E21" s="8"/>
      <c r="F21" s="8"/>
      <c r="G21" s="8"/>
      <c r="H21" s="8"/>
      <c r="I21" s="8">
        <f t="shared" si="1"/>
        <v>0</v>
      </c>
      <c r="J21" s="8">
        <f t="shared" si="2"/>
        <v>3828075</v>
      </c>
      <c r="L21" s="8"/>
    </row>
    <row r="22" spans="1:13" x14ac:dyDescent="0.2">
      <c r="A22" s="1" t="s">
        <v>10</v>
      </c>
      <c r="B22" s="8"/>
      <c r="C22" s="8"/>
      <c r="D22" s="8"/>
      <c r="E22" s="8"/>
      <c r="F22" s="8"/>
      <c r="G22" s="8"/>
      <c r="H22" s="8"/>
      <c r="I22" s="8">
        <f t="shared" si="1"/>
        <v>0</v>
      </c>
      <c r="J22" s="8">
        <f t="shared" si="2"/>
        <v>14144169</v>
      </c>
      <c r="L22" s="8"/>
    </row>
    <row r="23" spans="1:13" x14ac:dyDescent="0.2">
      <c r="A23" s="1" t="s">
        <v>11</v>
      </c>
      <c r="B23" s="8"/>
      <c r="C23" s="8"/>
      <c r="D23" s="8"/>
      <c r="E23" s="8"/>
      <c r="F23" s="8"/>
      <c r="G23" s="8"/>
      <c r="H23" s="8"/>
      <c r="I23" s="8">
        <f t="shared" si="1"/>
        <v>0</v>
      </c>
      <c r="J23" s="8">
        <f t="shared" si="2"/>
        <v>1176728</v>
      </c>
      <c r="L23" s="8"/>
    </row>
    <row r="24" spans="1:13" x14ac:dyDescent="0.2">
      <c r="A24" s="1" t="s">
        <v>404</v>
      </c>
      <c r="B24" s="8"/>
      <c r="C24" s="8"/>
      <c r="D24" s="8"/>
      <c r="E24" s="8"/>
      <c r="F24" s="8"/>
      <c r="G24" s="8"/>
      <c r="H24" s="8"/>
      <c r="I24" s="8">
        <f t="shared" si="1"/>
        <v>0</v>
      </c>
      <c r="J24" s="8">
        <f t="shared" si="2"/>
        <v>0</v>
      </c>
      <c r="L24" s="8"/>
    </row>
    <row r="25" spans="1:13" x14ac:dyDescent="0.2">
      <c r="L25" s="8"/>
    </row>
    <row r="26" spans="1:13" x14ac:dyDescent="0.2">
      <c r="L26" s="8"/>
    </row>
    <row r="27" spans="1:13" x14ac:dyDescent="0.2">
      <c r="L27" s="8"/>
    </row>
    <row r="28" spans="1:13" x14ac:dyDescent="0.2">
      <c r="A28" s="1" t="s">
        <v>429</v>
      </c>
    </row>
    <row r="29" spans="1:13" x14ac:dyDescent="0.2">
      <c r="A29" s="1" t="s">
        <v>430</v>
      </c>
    </row>
    <row r="30" spans="1:13" x14ac:dyDescent="0.2">
      <c r="A30" s="1" t="s">
        <v>433</v>
      </c>
    </row>
    <row r="31" spans="1:13" x14ac:dyDescent="0.2">
      <c r="A31" s="1" t="s">
        <v>434</v>
      </c>
    </row>
    <row r="32" spans="1:13" x14ac:dyDescent="0.2">
      <c r="A32" s="1" t="s">
        <v>431</v>
      </c>
    </row>
    <row r="33" spans="1:1" x14ac:dyDescent="0.2">
      <c r="A33" s="1" t="s">
        <v>432</v>
      </c>
    </row>
  </sheetData>
  <mergeCells count="1">
    <mergeCell ref="A14:A15"/>
  </mergeCells>
  <phoneticPr fontId="3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9"/>
  <sheetViews>
    <sheetView tabSelected="1" workbookViewId="0">
      <pane ySplit="1" topLeftCell="A233" activePane="bottomLeft" state="frozen"/>
      <selection pane="bottomLeft" activeCell="J291" sqref="J291"/>
    </sheetView>
  </sheetViews>
  <sheetFormatPr baseColWidth="10" defaultColWidth="8.85546875" defaultRowHeight="12" x14ac:dyDescent="0.2"/>
  <cols>
    <col min="1" max="1" width="9.7109375" style="4" bestFit="1" customWidth="1"/>
    <col min="2" max="2" width="12.42578125" style="6" bestFit="1" customWidth="1"/>
    <col min="3" max="3" width="36.140625" style="1" bestFit="1" customWidth="1"/>
    <col min="4" max="4" width="13.42578125" style="8" bestFit="1" customWidth="1"/>
    <col min="5" max="5" width="11.42578125" style="8" bestFit="1" customWidth="1"/>
    <col min="6" max="6" width="12.42578125" style="8" bestFit="1" customWidth="1"/>
    <col min="7" max="7" width="13.42578125" style="8" bestFit="1" customWidth="1"/>
    <col min="8" max="8" width="21.140625" style="1" bestFit="1" customWidth="1"/>
    <col min="9" max="9" width="9.7109375" style="4" bestFit="1" customWidth="1"/>
    <col min="10" max="10" width="21.5703125" style="1" bestFit="1" customWidth="1"/>
    <col min="11" max="11" width="8.85546875" style="1"/>
    <col min="12" max="12" width="7.28515625" style="1" bestFit="1" customWidth="1"/>
    <col min="13" max="13" width="8.85546875" style="1"/>
    <col min="14" max="14" width="11.28515625" style="1" bestFit="1" customWidth="1"/>
    <col min="15" max="16" width="11.28515625" style="1" customWidth="1"/>
    <col min="17" max="17" width="8.85546875" style="1"/>
    <col min="18" max="18" width="10.28515625" style="1" bestFit="1" customWidth="1"/>
    <col min="19" max="16384" width="8.85546875" style="1"/>
  </cols>
  <sheetData>
    <row r="1" spans="1:12" s="2" customFormat="1" x14ac:dyDescent="0.2">
      <c r="A1" s="3" t="s">
        <v>12</v>
      </c>
      <c r="B1" s="5" t="s">
        <v>13</v>
      </c>
      <c r="C1" s="2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2" t="s">
        <v>19</v>
      </c>
      <c r="I1" s="3" t="s">
        <v>20</v>
      </c>
      <c r="J1" s="2" t="s">
        <v>21</v>
      </c>
      <c r="L1" s="2" t="s">
        <v>22</v>
      </c>
    </row>
    <row r="3" spans="1:12" x14ac:dyDescent="0.2">
      <c r="A3" s="4">
        <v>44994</v>
      </c>
      <c r="B3" s="6" t="s">
        <v>23</v>
      </c>
      <c r="C3" s="1" t="s">
        <v>24</v>
      </c>
      <c r="D3" s="8">
        <v>0</v>
      </c>
      <c r="E3" s="8">
        <v>321152</v>
      </c>
      <c r="F3" s="8">
        <f>+D3*0.19</f>
        <v>0</v>
      </c>
      <c r="G3" s="8">
        <f>SUM(D3:F3)</f>
        <v>321152</v>
      </c>
      <c r="H3" s="1" t="s">
        <v>25</v>
      </c>
      <c r="I3" s="4">
        <v>45007</v>
      </c>
      <c r="J3" s="1" t="s">
        <v>26</v>
      </c>
      <c r="L3" s="10" t="s">
        <v>27</v>
      </c>
    </row>
    <row r="4" spans="1:12" x14ac:dyDescent="0.2">
      <c r="A4" s="4">
        <v>44994</v>
      </c>
      <c r="B4" s="9" t="s">
        <v>28</v>
      </c>
      <c r="C4" s="1" t="s">
        <v>24</v>
      </c>
      <c r="D4" s="8">
        <v>0</v>
      </c>
      <c r="E4" s="8">
        <v>722592</v>
      </c>
      <c r="F4" s="8">
        <f>+D4*0.19</f>
        <v>0</v>
      </c>
      <c r="G4" s="8">
        <f>SUM(D4:F4)</f>
        <v>722592</v>
      </c>
      <c r="H4" s="1" t="s">
        <v>25</v>
      </c>
      <c r="I4" s="4">
        <v>45007</v>
      </c>
      <c r="J4" s="1" t="s">
        <v>26</v>
      </c>
      <c r="L4" s="10" t="s">
        <v>27</v>
      </c>
    </row>
    <row r="5" spans="1:12" x14ac:dyDescent="0.2">
      <c r="A5" s="4">
        <v>44994</v>
      </c>
      <c r="B5" s="6" t="s">
        <v>29</v>
      </c>
      <c r="C5" s="1" t="s">
        <v>24</v>
      </c>
      <c r="D5" s="8">
        <v>0</v>
      </c>
      <c r="E5" s="8">
        <v>722592</v>
      </c>
      <c r="F5" s="8">
        <f>+D5*0.19</f>
        <v>0</v>
      </c>
      <c r="G5" s="8">
        <f>SUM(D5:F5)</f>
        <v>722592</v>
      </c>
      <c r="H5" s="1" t="s">
        <v>25</v>
      </c>
      <c r="I5" s="4">
        <v>45007</v>
      </c>
      <c r="J5" s="1" t="s">
        <v>26</v>
      </c>
      <c r="L5" s="10" t="s">
        <v>27</v>
      </c>
    </row>
    <row r="6" spans="1:12" x14ac:dyDescent="0.2">
      <c r="A6" s="4">
        <v>44999</v>
      </c>
      <c r="B6" s="6" t="s">
        <v>30</v>
      </c>
      <c r="C6" s="1" t="s">
        <v>24</v>
      </c>
      <c r="D6" s="8">
        <v>0</v>
      </c>
      <c r="E6" s="8">
        <v>722826</v>
      </c>
      <c r="F6" s="8">
        <f>+D6*0.19</f>
        <v>0</v>
      </c>
      <c r="G6" s="8">
        <f>SUM(D6:F6)</f>
        <v>722826</v>
      </c>
      <c r="H6" s="1" t="s">
        <v>25</v>
      </c>
      <c r="I6" s="4">
        <v>45007</v>
      </c>
      <c r="J6" s="1" t="s">
        <v>26</v>
      </c>
      <c r="L6" s="10" t="s">
        <v>27</v>
      </c>
    </row>
    <row r="7" spans="1:12" x14ac:dyDescent="0.2">
      <c r="A7" s="4">
        <v>44999</v>
      </c>
      <c r="B7" s="6" t="s">
        <v>31</v>
      </c>
      <c r="C7" s="1" t="s">
        <v>24</v>
      </c>
      <c r="D7" s="8">
        <v>0</v>
      </c>
      <c r="E7" s="8">
        <v>722826</v>
      </c>
      <c r="F7" s="8">
        <f>+D7*0.19</f>
        <v>0</v>
      </c>
      <c r="G7" s="8">
        <f>SUM(D7:F7)</f>
        <v>722826</v>
      </c>
      <c r="H7" s="1" t="s">
        <v>25</v>
      </c>
      <c r="I7" s="4">
        <v>45007</v>
      </c>
      <c r="J7" s="1" t="s">
        <v>26</v>
      </c>
      <c r="L7" s="10" t="s">
        <v>27</v>
      </c>
    </row>
    <row r="8" spans="1:12" x14ac:dyDescent="0.2">
      <c r="A8" s="4">
        <v>44999</v>
      </c>
      <c r="B8" s="6" t="s">
        <v>32</v>
      </c>
      <c r="C8" s="1" t="s">
        <v>24</v>
      </c>
      <c r="D8" s="8">
        <v>0</v>
      </c>
      <c r="E8" s="8">
        <v>963768</v>
      </c>
      <c r="F8" s="8">
        <f t="shared" ref="F8:F9" si="0">+D8*0.19</f>
        <v>0</v>
      </c>
      <c r="G8" s="8">
        <f t="shared" ref="G8:G9" si="1">SUM(D8:F8)</f>
        <v>963768</v>
      </c>
      <c r="H8" s="1" t="s">
        <v>25</v>
      </c>
      <c r="I8" s="4">
        <v>45007</v>
      </c>
      <c r="J8" s="1" t="s">
        <v>26</v>
      </c>
      <c r="L8" s="10" t="s">
        <v>27</v>
      </c>
    </row>
    <row r="9" spans="1:12" x14ac:dyDescent="0.2">
      <c r="A9" s="12">
        <v>45006</v>
      </c>
      <c r="B9" s="13" t="s">
        <v>33</v>
      </c>
      <c r="C9" s="14" t="s">
        <v>24</v>
      </c>
      <c r="D9" s="11">
        <v>0</v>
      </c>
      <c r="E9" s="11">
        <v>413175</v>
      </c>
      <c r="F9" s="11">
        <f t="shared" si="0"/>
        <v>0</v>
      </c>
      <c r="G9" s="11">
        <f t="shared" si="1"/>
        <v>413175</v>
      </c>
      <c r="H9" s="1" t="s">
        <v>25</v>
      </c>
      <c r="I9" s="4">
        <v>45007</v>
      </c>
      <c r="J9" s="1" t="s">
        <v>26</v>
      </c>
      <c r="L9" s="10" t="s">
        <v>27</v>
      </c>
    </row>
    <row r="10" spans="1:12" x14ac:dyDescent="0.2">
      <c r="D10" s="8">
        <f>SUM(D3:D9)</f>
        <v>0</v>
      </c>
      <c r="E10" s="8">
        <f t="shared" ref="E10:G10" si="2">SUM(E3:E9)</f>
        <v>4588931</v>
      </c>
      <c r="F10" s="8">
        <f t="shared" si="2"/>
        <v>0</v>
      </c>
      <c r="G10" s="8">
        <f t="shared" si="2"/>
        <v>4588931</v>
      </c>
    </row>
    <row r="12" spans="1:12" x14ac:dyDescent="0.2">
      <c r="A12" s="15">
        <v>45009</v>
      </c>
      <c r="B12" s="18" t="s">
        <v>34</v>
      </c>
      <c r="C12" s="16" t="s">
        <v>35</v>
      </c>
      <c r="D12" s="17">
        <v>280986</v>
      </c>
      <c r="E12" s="17">
        <v>0</v>
      </c>
      <c r="F12" s="17">
        <f>+D12*0.19</f>
        <v>53387.340000000004</v>
      </c>
      <c r="G12" s="17">
        <f>SUM(D12:F12)</f>
        <v>334373.34000000003</v>
      </c>
      <c r="H12" s="16" t="s">
        <v>36</v>
      </c>
      <c r="L12" s="10" t="s">
        <v>4</v>
      </c>
    </row>
    <row r="13" spans="1:12" x14ac:dyDescent="0.2">
      <c r="A13" s="4">
        <v>45010</v>
      </c>
      <c r="B13" s="6" t="s">
        <v>37</v>
      </c>
      <c r="C13" s="1" t="s">
        <v>38</v>
      </c>
      <c r="D13" s="8">
        <v>2002000</v>
      </c>
      <c r="E13" s="8">
        <v>0</v>
      </c>
      <c r="F13" s="8">
        <f>+D13*0.19</f>
        <v>380380</v>
      </c>
      <c r="G13" s="8">
        <f>SUM(D13:F13)</f>
        <v>2382380</v>
      </c>
      <c r="H13" s="1" t="s">
        <v>39</v>
      </c>
      <c r="I13" s="4">
        <v>44995</v>
      </c>
      <c r="J13" s="1" t="s">
        <v>26</v>
      </c>
      <c r="L13" s="10" t="s">
        <v>4</v>
      </c>
    </row>
    <row r="14" spans="1:12" x14ac:dyDescent="0.2">
      <c r="A14" s="4">
        <v>45019</v>
      </c>
      <c r="B14" s="6" t="s">
        <v>40</v>
      </c>
      <c r="C14" s="1" t="s">
        <v>24</v>
      </c>
      <c r="D14" s="8">
        <v>0</v>
      </c>
      <c r="E14" s="8">
        <v>948492</v>
      </c>
      <c r="F14" s="8">
        <f t="shared" ref="F14:F15" si="3">+D14*0.19</f>
        <v>0</v>
      </c>
      <c r="G14" s="8">
        <f t="shared" ref="G14:G15" si="4">SUM(D14:F14)</f>
        <v>948492</v>
      </c>
      <c r="H14" s="1" t="s">
        <v>25</v>
      </c>
      <c r="I14" s="4">
        <v>45033</v>
      </c>
      <c r="J14" s="1" t="s">
        <v>26</v>
      </c>
      <c r="L14" s="10" t="s">
        <v>4</v>
      </c>
    </row>
    <row r="15" spans="1:12" x14ac:dyDescent="0.2">
      <c r="A15" s="4">
        <v>45019</v>
      </c>
      <c r="B15" s="6" t="s">
        <v>41</v>
      </c>
      <c r="C15" s="1" t="s">
        <v>24</v>
      </c>
      <c r="D15" s="8">
        <v>0</v>
      </c>
      <c r="E15" s="8">
        <v>1580820</v>
      </c>
      <c r="F15" s="8">
        <f t="shared" si="3"/>
        <v>0</v>
      </c>
      <c r="G15" s="8">
        <f t="shared" si="4"/>
        <v>1580820</v>
      </c>
      <c r="H15" s="1" t="s">
        <v>25</v>
      </c>
      <c r="I15" s="4">
        <v>45062</v>
      </c>
      <c r="J15" s="1" t="s">
        <v>26</v>
      </c>
      <c r="L15" s="10" t="s">
        <v>4</v>
      </c>
    </row>
    <row r="16" spans="1:12" x14ac:dyDescent="0.2">
      <c r="A16" s="4">
        <v>45020</v>
      </c>
      <c r="B16" s="6" t="s">
        <v>42</v>
      </c>
      <c r="C16" s="1" t="s">
        <v>43</v>
      </c>
      <c r="D16" s="8">
        <v>124665425</v>
      </c>
      <c r="E16" s="8">
        <v>0</v>
      </c>
      <c r="F16" s="8">
        <f>+D16*0.19</f>
        <v>23686430.75</v>
      </c>
      <c r="G16" s="8">
        <f>SUM(D16:F16)</f>
        <v>148351855.75</v>
      </c>
      <c r="H16" s="1" t="s">
        <v>44</v>
      </c>
      <c r="I16" s="4">
        <v>45028</v>
      </c>
      <c r="J16" s="1" t="s">
        <v>26</v>
      </c>
      <c r="L16" s="10" t="s">
        <v>4</v>
      </c>
    </row>
    <row r="17" spans="1:12" x14ac:dyDescent="0.2">
      <c r="A17" s="4">
        <v>45028</v>
      </c>
      <c r="B17" s="6" t="s">
        <v>45</v>
      </c>
      <c r="C17" s="1" t="s">
        <v>46</v>
      </c>
      <c r="D17" s="8">
        <v>6244605</v>
      </c>
      <c r="E17" s="8">
        <v>0</v>
      </c>
      <c r="F17" s="8">
        <f>+D17*0.19</f>
        <v>1186474.95</v>
      </c>
      <c r="G17" s="8">
        <f>SUM(D17:F17)</f>
        <v>7431079.9500000002</v>
      </c>
      <c r="H17" s="1" t="s">
        <v>47</v>
      </c>
      <c r="I17" s="4">
        <v>45030</v>
      </c>
      <c r="J17" s="1" t="s">
        <v>26</v>
      </c>
      <c r="L17" s="10" t="s">
        <v>4</v>
      </c>
    </row>
    <row r="18" spans="1:12" x14ac:dyDescent="0.2">
      <c r="A18" s="4">
        <v>45028</v>
      </c>
      <c r="B18" s="6" t="s">
        <v>48</v>
      </c>
      <c r="C18" s="1" t="s">
        <v>46</v>
      </c>
      <c r="D18" s="8">
        <v>16999750</v>
      </c>
      <c r="E18" s="8">
        <v>0</v>
      </c>
      <c r="F18" s="8">
        <f>+D18*0.19</f>
        <v>3229952.5</v>
      </c>
      <c r="G18" s="8">
        <f>SUM(D18:F18)</f>
        <v>20229702.5</v>
      </c>
      <c r="H18" s="1" t="s">
        <v>49</v>
      </c>
      <c r="I18" s="4">
        <v>45030</v>
      </c>
      <c r="J18" s="1" t="s">
        <v>26</v>
      </c>
      <c r="L18" s="10" t="s">
        <v>4</v>
      </c>
    </row>
    <row r="19" spans="1:12" x14ac:dyDescent="0.2">
      <c r="A19" s="4">
        <v>45034</v>
      </c>
      <c r="B19" s="9" t="s">
        <v>50</v>
      </c>
      <c r="C19" s="1" t="s">
        <v>51</v>
      </c>
      <c r="D19" s="8">
        <v>88930</v>
      </c>
      <c r="E19" s="8">
        <v>0</v>
      </c>
      <c r="F19" s="8">
        <f>+D19*0.19</f>
        <v>16896.7</v>
      </c>
      <c r="G19" s="8">
        <f>SUM(D19:F19)</f>
        <v>105826.7</v>
      </c>
      <c r="H19" s="1" t="s">
        <v>52</v>
      </c>
      <c r="I19" s="4">
        <v>45034</v>
      </c>
      <c r="J19" s="1" t="s">
        <v>53</v>
      </c>
      <c r="L19" s="10" t="s">
        <v>4</v>
      </c>
    </row>
    <row r="20" spans="1:12" x14ac:dyDescent="0.2">
      <c r="A20" s="12">
        <v>45041</v>
      </c>
      <c r="B20" s="19" t="s">
        <v>54</v>
      </c>
      <c r="C20" s="14" t="s">
        <v>51</v>
      </c>
      <c r="D20" s="11">
        <v>146656</v>
      </c>
      <c r="E20" s="11">
        <v>0</v>
      </c>
      <c r="F20" s="11">
        <f>+D20*0.19</f>
        <v>27864.639999999999</v>
      </c>
      <c r="G20" s="11">
        <f>SUM(D20:F20)</f>
        <v>174520.64</v>
      </c>
      <c r="H20" s="1" t="s">
        <v>52</v>
      </c>
      <c r="I20" s="4">
        <v>45041</v>
      </c>
      <c r="J20" s="1" t="s">
        <v>53</v>
      </c>
      <c r="L20" s="10" t="s">
        <v>4</v>
      </c>
    </row>
    <row r="21" spans="1:12" x14ac:dyDescent="0.2">
      <c r="D21" s="8">
        <f>SUM(D12:D20)</f>
        <v>150428352</v>
      </c>
      <c r="E21" s="8">
        <f t="shared" ref="E21:G21" si="5">SUM(E12:E20)</f>
        <v>2529312</v>
      </c>
      <c r="F21" s="8">
        <f t="shared" si="5"/>
        <v>28581386.879999999</v>
      </c>
      <c r="G21" s="8">
        <f t="shared" si="5"/>
        <v>181539050.87999997</v>
      </c>
    </row>
    <row r="23" spans="1:12" x14ac:dyDescent="0.2">
      <c r="A23" s="4">
        <v>45048</v>
      </c>
      <c r="B23" s="6" t="s">
        <v>55</v>
      </c>
      <c r="C23" s="1" t="s">
        <v>24</v>
      </c>
      <c r="D23" s="8">
        <v>0</v>
      </c>
      <c r="E23" s="8">
        <v>722970</v>
      </c>
      <c r="F23" s="8">
        <f>+D23*0.19</f>
        <v>0</v>
      </c>
      <c r="G23" s="8">
        <f t="shared" ref="G23:G39" si="6">SUM(D23:F23)</f>
        <v>722970</v>
      </c>
      <c r="H23" s="1" t="s">
        <v>25</v>
      </c>
      <c r="I23" s="4">
        <v>45062</v>
      </c>
      <c r="J23" s="1" t="s">
        <v>26</v>
      </c>
      <c r="L23" s="10" t="s">
        <v>5</v>
      </c>
    </row>
    <row r="24" spans="1:12" x14ac:dyDescent="0.2">
      <c r="A24" s="4">
        <v>45050</v>
      </c>
      <c r="B24" s="6" t="s">
        <v>56</v>
      </c>
      <c r="C24" s="1" t="s">
        <v>57</v>
      </c>
      <c r="D24" s="8">
        <v>215345</v>
      </c>
      <c r="E24" s="8">
        <v>0</v>
      </c>
      <c r="F24" s="8">
        <f>+D24*0.19</f>
        <v>40915.550000000003</v>
      </c>
      <c r="G24" s="8">
        <f t="shared" si="6"/>
        <v>256260.55</v>
      </c>
      <c r="H24" s="1" t="s">
        <v>58</v>
      </c>
      <c r="I24" s="4">
        <v>45050</v>
      </c>
      <c r="J24" s="1" t="s">
        <v>59</v>
      </c>
      <c r="L24" s="10" t="s">
        <v>5</v>
      </c>
    </row>
    <row r="25" spans="1:12" x14ac:dyDescent="0.2">
      <c r="A25" s="4">
        <v>45051</v>
      </c>
      <c r="B25" s="6" t="s">
        <v>60</v>
      </c>
      <c r="C25" s="1" t="s">
        <v>61</v>
      </c>
      <c r="D25" s="8">
        <v>176502</v>
      </c>
      <c r="E25" s="8">
        <v>0</v>
      </c>
      <c r="F25" s="8">
        <f>+D25*0.19</f>
        <v>33535.379999999997</v>
      </c>
      <c r="G25" s="8">
        <f t="shared" si="6"/>
        <v>210037.38</v>
      </c>
      <c r="H25" s="1" t="s">
        <v>58</v>
      </c>
      <c r="I25" s="4">
        <v>45050</v>
      </c>
      <c r="J25" s="1" t="s">
        <v>59</v>
      </c>
      <c r="L25" s="10" t="s">
        <v>5</v>
      </c>
    </row>
    <row r="26" spans="1:12" x14ac:dyDescent="0.2">
      <c r="A26" s="4">
        <v>45055</v>
      </c>
      <c r="B26" s="9" t="s">
        <v>62</v>
      </c>
      <c r="C26" s="1" t="s">
        <v>51</v>
      </c>
      <c r="D26" s="8">
        <v>1432</v>
      </c>
      <c r="E26" s="8">
        <v>0</v>
      </c>
      <c r="F26" s="8">
        <f>+D26*0.19</f>
        <v>272.08</v>
      </c>
      <c r="G26" s="8">
        <f t="shared" si="6"/>
        <v>1704.08</v>
      </c>
      <c r="H26" s="1" t="s">
        <v>52</v>
      </c>
      <c r="I26" s="4">
        <v>45055</v>
      </c>
      <c r="J26" s="1" t="s">
        <v>53</v>
      </c>
      <c r="L26" s="10" t="s">
        <v>5</v>
      </c>
    </row>
    <row r="27" spans="1:12" x14ac:dyDescent="0.2">
      <c r="A27" s="4">
        <v>45055</v>
      </c>
      <c r="B27" s="9" t="s">
        <v>63</v>
      </c>
      <c r="C27" s="1" t="s">
        <v>51</v>
      </c>
      <c r="D27" s="8">
        <v>89662</v>
      </c>
      <c r="E27" s="8">
        <v>0</v>
      </c>
      <c r="F27" s="8">
        <f>+D27*0.19</f>
        <v>17035.78</v>
      </c>
      <c r="G27" s="8">
        <f t="shared" si="6"/>
        <v>106697.78</v>
      </c>
      <c r="H27" s="1" t="s">
        <v>52</v>
      </c>
      <c r="I27" s="4">
        <v>45055</v>
      </c>
      <c r="J27" s="1" t="s">
        <v>53</v>
      </c>
      <c r="L27" s="10" t="s">
        <v>5</v>
      </c>
    </row>
    <row r="28" spans="1:12" x14ac:dyDescent="0.2">
      <c r="A28" s="4">
        <v>45063</v>
      </c>
      <c r="B28" s="6" t="s">
        <v>64</v>
      </c>
      <c r="C28" s="1" t="s">
        <v>65</v>
      </c>
      <c r="D28" s="8">
        <v>263907</v>
      </c>
      <c r="E28" s="8">
        <v>0</v>
      </c>
      <c r="F28" s="8">
        <f t="shared" ref="F28:F39" si="7">+D28*0.19</f>
        <v>50142.33</v>
      </c>
      <c r="G28" s="8">
        <f t="shared" si="6"/>
        <v>314049.33</v>
      </c>
      <c r="H28" s="1" t="s">
        <v>66</v>
      </c>
      <c r="I28" s="4">
        <v>45062</v>
      </c>
      <c r="J28" s="1" t="s">
        <v>59</v>
      </c>
      <c r="L28" s="10" t="s">
        <v>5</v>
      </c>
    </row>
    <row r="29" spans="1:12" x14ac:dyDescent="0.2">
      <c r="A29" s="4">
        <v>45064</v>
      </c>
      <c r="B29" s="6" t="s">
        <v>67</v>
      </c>
      <c r="C29" s="1" t="s">
        <v>68</v>
      </c>
      <c r="D29" s="8">
        <v>128425</v>
      </c>
      <c r="E29" s="8">
        <v>0</v>
      </c>
      <c r="F29" s="8">
        <f t="shared" si="7"/>
        <v>24400.75</v>
      </c>
      <c r="G29" s="8">
        <f t="shared" si="6"/>
        <v>152825.75</v>
      </c>
      <c r="H29" s="1" t="s">
        <v>58</v>
      </c>
      <c r="I29" s="4">
        <v>45050</v>
      </c>
      <c r="J29" s="1" t="s">
        <v>59</v>
      </c>
      <c r="L29" s="10" t="s">
        <v>5</v>
      </c>
    </row>
    <row r="30" spans="1:12" x14ac:dyDescent="0.2">
      <c r="A30" s="4">
        <v>45064</v>
      </c>
      <c r="B30" s="6" t="s">
        <v>69</v>
      </c>
      <c r="C30" s="1" t="s">
        <v>68</v>
      </c>
      <c r="D30" s="8">
        <v>128425</v>
      </c>
      <c r="E30" s="8">
        <v>0</v>
      </c>
      <c r="F30" s="8">
        <f t="shared" si="7"/>
        <v>24400.75</v>
      </c>
      <c r="G30" s="8">
        <f t="shared" si="6"/>
        <v>152825.75</v>
      </c>
      <c r="H30" s="1" t="s">
        <v>66</v>
      </c>
      <c r="I30" s="4">
        <v>45062</v>
      </c>
      <c r="J30" s="1" t="s">
        <v>59</v>
      </c>
      <c r="L30" s="10" t="s">
        <v>5</v>
      </c>
    </row>
    <row r="31" spans="1:12" x14ac:dyDescent="0.2">
      <c r="A31" s="4">
        <v>45065</v>
      </c>
      <c r="B31" s="6" t="s">
        <v>70</v>
      </c>
      <c r="C31" s="1" t="s">
        <v>71</v>
      </c>
      <c r="D31" s="8">
        <v>116071</v>
      </c>
      <c r="E31" s="8">
        <v>0</v>
      </c>
      <c r="F31" s="8">
        <f t="shared" si="7"/>
        <v>22053.49</v>
      </c>
      <c r="G31" s="8">
        <f t="shared" si="6"/>
        <v>138124.49</v>
      </c>
      <c r="H31" s="1" t="s">
        <v>72</v>
      </c>
      <c r="I31" s="4">
        <v>45064</v>
      </c>
      <c r="J31" s="1" t="s">
        <v>26</v>
      </c>
      <c r="L31" s="10" t="s">
        <v>5</v>
      </c>
    </row>
    <row r="32" spans="1:12" x14ac:dyDescent="0.2">
      <c r="A32" s="4">
        <v>45065</v>
      </c>
      <c r="B32" s="6" t="s">
        <v>73</v>
      </c>
      <c r="C32" s="1" t="s">
        <v>71</v>
      </c>
      <c r="D32" s="8">
        <v>116071</v>
      </c>
      <c r="E32" s="8">
        <v>0</v>
      </c>
      <c r="F32" s="8">
        <f t="shared" si="7"/>
        <v>22053.49</v>
      </c>
      <c r="G32" s="8">
        <f t="shared" si="6"/>
        <v>138124.49</v>
      </c>
      <c r="H32" s="1" t="s">
        <v>74</v>
      </c>
      <c r="I32" s="4">
        <v>45064</v>
      </c>
      <c r="J32" s="1" t="s">
        <v>26</v>
      </c>
      <c r="L32" s="10" t="s">
        <v>5</v>
      </c>
    </row>
    <row r="33" spans="1:18" x14ac:dyDescent="0.2">
      <c r="A33" s="4">
        <v>45062</v>
      </c>
      <c r="B33" s="6" t="s">
        <v>75</v>
      </c>
      <c r="C33" s="1" t="s">
        <v>57</v>
      </c>
      <c r="D33" s="8">
        <v>215884</v>
      </c>
      <c r="E33" s="8">
        <v>0</v>
      </c>
      <c r="F33" s="8">
        <f t="shared" si="7"/>
        <v>41017.96</v>
      </c>
      <c r="G33" s="8">
        <f t="shared" si="6"/>
        <v>256901.96</v>
      </c>
      <c r="H33" s="1" t="s">
        <v>66</v>
      </c>
      <c r="I33" s="4">
        <v>45062</v>
      </c>
      <c r="J33" s="1" t="s">
        <v>59</v>
      </c>
      <c r="L33" s="10" t="s">
        <v>5</v>
      </c>
    </row>
    <row r="34" spans="1:18" x14ac:dyDescent="0.2">
      <c r="A34" s="4">
        <v>45071</v>
      </c>
      <c r="B34" s="6" t="s">
        <v>76</v>
      </c>
      <c r="C34" s="1" t="s">
        <v>77</v>
      </c>
      <c r="D34" s="8">
        <v>100933</v>
      </c>
      <c r="E34" s="8">
        <v>0</v>
      </c>
      <c r="F34" s="8">
        <f t="shared" si="7"/>
        <v>19177.27</v>
      </c>
      <c r="G34" s="8">
        <f t="shared" si="6"/>
        <v>120110.27</v>
      </c>
      <c r="H34" s="1" t="s">
        <v>78</v>
      </c>
      <c r="I34" s="4">
        <v>45069</v>
      </c>
      <c r="J34" s="1" t="s">
        <v>59</v>
      </c>
      <c r="L34" s="10" t="s">
        <v>5</v>
      </c>
    </row>
    <row r="35" spans="1:18" x14ac:dyDescent="0.2">
      <c r="A35" s="4">
        <v>45071</v>
      </c>
      <c r="B35" s="6" t="s">
        <v>79</v>
      </c>
      <c r="C35" s="1" t="s">
        <v>80</v>
      </c>
      <c r="D35" s="8">
        <v>45000</v>
      </c>
      <c r="E35" s="8">
        <v>0</v>
      </c>
      <c r="F35" s="8">
        <f t="shared" si="7"/>
        <v>8550</v>
      </c>
      <c r="G35" s="8">
        <f t="shared" si="6"/>
        <v>53550</v>
      </c>
      <c r="H35" s="1" t="s">
        <v>78</v>
      </c>
      <c r="I35" s="4">
        <v>45069</v>
      </c>
      <c r="J35" s="1" t="s">
        <v>59</v>
      </c>
      <c r="L35" s="10" t="s">
        <v>5</v>
      </c>
    </row>
    <row r="36" spans="1:18" x14ac:dyDescent="0.2">
      <c r="A36" s="4">
        <v>45071</v>
      </c>
      <c r="B36" s="6" t="s">
        <v>81</v>
      </c>
      <c r="C36" s="1" t="s">
        <v>65</v>
      </c>
      <c r="D36" s="8">
        <v>29793</v>
      </c>
      <c r="E36" s="8">
        <v>0</v>
      </c>
      <c r="F36" s="8">
        <f t="shared" si="7"/>
        <v>5660.67</v>
      </c>
      <c r="G36" s="8">
        <f t="shared" si="6"/>
        <v>35453.67</v>
      </c>
      <c r="H36" s="1" t="s">
        <v>82</v>
      </c>
      <c r="I36" s="4">
        <v>45075</v>
      </c>
      <c r="J36" s="1" t="s">
        <v>26</v>
      </c>
      <c r="L36" s="10" t="s">
        <v>5</v>
      </c>
    </row>
    <row r="37" spans="1:18" x14ac:dyDescent="0.2">
      <c r="A37" s="4">
        <v>45076</v>
      </c>
      <c r="B37" s="6" t="s">
        <v>83</v>
      </c>
      <c r="C37" s="1" t="s">
        <v>71</v>
      </c>
      <c r="D37" s="8">
        <v>116071</v>
      </c>
      <c r="E37" s="8">
        <v>0</v>
      </c>
      <c r="F37" s="8">
        <f t="shared" si="7"/>
        <v>22053.49</v>
      </c>
      <c r="G37" s="8">
        <f t="shared" si="6"/>
        <v>138124.49</v>
      </c>
      <c r="H37" s="1" t="s">
        <v>84</v>
      </c>
      <c r="I37" s="4">
        <v>45075</v>
      </c>
      <c r="J37" s="1" t="s">
        <v>26</v>
      </c>
      <c r="L37" s="10" t="s">
        <v>5</v>
      </c>
    </row>
    <row r="38" spans="1:18" x14ac:dyDescent="0.2">
      <c r="A38" s="4">
        <v>45076</v>
      </c>
      <c r="B38" s="6" t="s">
        <v>85</v>
      </c>
      <c r="C38" s="1" t="s">
        <v>68</v>
      </c>
      <c r="D38" s="8">
        <v>128425</v>
      </c>
      <c r="E38" s="8">
        <v>0</v>
      </c>
      <c r="F38" s="8">
        <f t="shared" si="7"/>
        <v>24400.75</v>
      </c>
      <c r="G38" s="8">
        <f t="shared" si="6"/>
        <v>152825.75</v>
      </c>
      <c r="H38" s="1" t="s">
        <v>78</v>
      </c>
      <c r="I38" s="4">
        <v>45069</v>
      </c>
      <c r="J38" s="1" t="s">
        <v>59</v>
      </c>
      <c r="L38" s="10" t="s">
        <v>5</v>
      </c>
    </row>
    <row r="39" spans="1:18" x14ac:dyDescent="0.2">
      <c r="A39" s="12">
        <v>45076</v>
      </c>
      <c r="B39" s="13" t="s">
        <v>86</v>
      </c>
      <c r="C39" s="14" t="s">
        <v>68</v>
      </c>
      <c r="D39" s="11">
        <v>83217</v>
      </c>
      <c r="E39" s="11">
        <v>0</v>
      </c>
      <c r="F39" s="11">
        <f t="shared" si="7"/>
        <v>15811.23</v>
      </c>
      <c r="G39" s="11">
        <f t="shared" si="6"/>
        <v>99028.23</v>
      </c>
      <c r="H39" s="1" t="s">
        <v>78</v>
      </c>
      <c r="I39" s="4">
        <v>45069</v>
      </c>
      <c r="J39" s="1" t="s">
        <v>59</v>
      </c>
      <c r="L39" s="10" t="s">
        <v>5</v>
      </c>
    </row>
    <row r="40" spans="1:18" x14ac:dyDescent="0.2">
      <c r="D40" s="8">
        <f>SUM(D23:D39)</f>
        <v>1955163</v>
      </c>
      <c r="E40" s="8">
        <f>SUM(E23:E39)</f>
        <v>722970</v>
      </c>
      <c r="F40" s="8">
        <f>SUM(F23:F39)</f>
        <v>371480.97</v>
      </c>
      <c r="G40" s="8">
        <f>SUM(G23:G39)</f>
        <v>3049613.97</v>
      </c>
    </row>
    <row r="42" spans="1:18" x14ac:dyDescent="0.2">
      <c r="A42" s="20">
        <v>45050</v>
      </c>
      <c r="B42" s="21" t="s">
        <v>87</v>
      </c>
      <c r="C42" s="22" t="s">
        <v>88</v>
      </c>
      <c r="D42" s="23">
        <v>0</v>
      </c>
      <c r="E42" s="23">
        <f>379.94*805.21</f>
        <v>305931.48739999998</v>
      </c>
      <c r="F42" s="23">
        <f>1275.32*805.21</f>
        <v>1026900.4172</v>
      </c>
      <c r="G42" s="23">
        <f t="shared" ref="G42:G84" si="8">SUM(D42:F42)</f>
        <v>1332831.9046</v>
      </c>
      <c r="H42" s="22" t="s">
        <v>58</v>
      </c>
      <c r="I42" s="4">
        <v>45050</v>
      </c>
      <c r="J42" s="1" t="s">
        <v>59</v>
      </c>
      <c r="L42" s="10" t="s">
        <v>6</v>
      </c>
      <c r="N42" s="8"/>
      <c r="O42" s="8"/>
      <c r="P42" s="8"/>
      <c r="R42" s="8"/>
    </row>
    <row r="43" spans="1:18" x14ac:dyDescent="0.2">
      <c r="A43" s="20">
        <v>45062</v>
      </c>
      <c r="B43" s="21" t="s">
        <v>89</v>
      </c>
      <c r="C43" s="22" t="s">
        <v>88</v>
      </c>
      <c r="D43" s="23">
        <v>0</v>
      </c>
      <c r="E43" s="23">
        <f>466.77*805.21</f>
        <v>375847.87170000002</v>
      </c>
      <c r="F43" s="23">
        <f>1566.78*805.21</f>
        <v>1261586.9238</v>
      </c>
      <c r="G43" s="23">
        <f t="shared" si="8"/>
        <v>1637434.7955</v>
      </c>
      <c r="H43" s="22" t="s">
        <v>66</v>
      </c>
      <c r="I43" s="4">
        <v>45062</v>
      </c>
      <c r="J43" s="1" t="s">
        <v>59</v>
      </c>
      <c r="L43" s="10" t="s">
        <v>6</v>
      </c>
      <c r="N43" s="8"/>
      <c r="O43" s="8"/>
      <c r="P43" s="8"/>
      <c r="R43" s="8"/>
    </row>
    <row r="44" spans="1:18" x14ac:dyDescent="0.2">
      <c r="A44" s="20">
        <v>45064</v>
      </c>
      <c r="B44" s="21" t="s">
        <v>90</v>
      </c>
      <c r="C44" s="22" t="s">
        <v>88</v>
      </c>
      <c r="D44" s="23">
        <v>0</v>
      </c>
      <c r="E44" s="23">
        <f>107.5*805.21</f>
        <v>86560.074999999997</v>
      </c>
      <c r="F44" s="23">
        <f>360.85*805.21</f>
        <v>290560.02850000001</v>
      </c>
      <c r="G44" s="23">
        <f t="shared" si="8"/>
        <v>377120.10350000003</v>
      </c>
      <c r="H44" s="22" t="s">
        <v>74</v>
      </c>
      <c r="I44" s="4">
        <v>45064</v>
      </c>
      <c r="J44" s="1" t="s">
        <v>91</v>
      </c>
      <c r="L44" s="10" t="s">
        <v>6</v>
      </c>
      <c r="N44" s="8"/>
      <c r="O44" s="8"/>
      <c r="P44" s="8"/>
      <c r="R44" s="8"/>
    </row>
    <row r="45" spans="1:18" x14ac:dyDescent="0.2">
      <c r="A45" s="20">
        <v>45064</v>
      </c>
      <c r="B45" s="21" t="s">
        <v>92</v>
      </c>
      <c r="C45" s="22" t="s">
        <v>88</v>
      </c>
      <c r="D45" s="23">
        <v>0</v>
      </c>
      <c r="E45" s="23">
        <f>162.21*805.21</f>
        <v>130613.11410000001</v>
      </c>
      <c r="F45" s="23">
        <f>544.47*805.21</f>
        <v>438412.68870000006</v>
      </c>
      <c r="G45" s="23">
        <f t="shared" si="8"/>
        <v>569025.80280000006</v>
      </c>
      <c r="H45" s="22" t="s">
        <v>72</v>
      </c>
      <c r="I45" s="4">
        <v>45064</v>
      </c>
      <c r="J45" s="1" t="s">
        <v>91</v>
      </c>
      <c r="L45" s="10" t="s">
        <v>6</v>
      </c>
      <c r="N45" s="8"/>
      <c r="O45" s="8"/>
      <c r="P45" s="8"/>
      <c r="R45" s="8"/>
    </row>
    <row r="46" spans="1:18" x14ac:dyDescent="0.2">
      <c r="A46" s="4">
        <v>45069</v>
      </c>
      <c r="B46" s="6" t="s">
        <v>93</v>
      </c>
      <c r="C46" s="1" t="s">
        <v>94</v>
      </c>
      <c r="D46" s="8">
        <v>40012</v>
      </c>
      <c r="E46" s="8">
        <v>0</v>
      </c>
      <c r="F46" s="8">
        <f>+D46*0.19</f>
        <v>7602.28</v>
      </c>
      <c r="G46" s="8">
        <f t="shared" si="8"/>
        <v>47614.28</v>
      </c>
      <c r="H46" s="1" t="s">
        <v>78</v>
      </c>
      <c r="I46" s="4">
        <v>45069</v>
      </c>
      <c r="J46" s="1" t="s">
        <v>59</v>
      </c>
      <c r="L46" s="10" t="s">
        <v>6</v>
      </c>
    </row>
    <row r="47" spans="1:18" x14ac:dyDescent="0.2">
      <c r="A47" s="4">
        <v>45069</v>
      </c>
      <c r="B47" s="6" t="s">
        <v>95</v>
      </c>
      <c r="C47" s="1" t="s">
        <v>94</v>
      </c>
      <c r="D47" s="8">
        <v>0</v>
      </c>
      <c r="E47" s="8">
        <v>1000956</v>
      </c>
      <c r="F47" s="8">
        <f>+D47*0.19</f>
        <v>0</v>
      </c>
      <c r="G47" s="8">
        <f t="shared" si="8"/>
        <v>1000956</v>
      </c>
      <c r="H47" s="1" t="s">
        <v>78</v>
      </c>
      <c r="I47" s="4">
        <v>45069</v>
      </c>
      <c r="J47" s="1" t="s">
        <v>59</v>
      </c>
      <c r="L47" s="10" t="s">
        <v>6</v>
      </c>
    </row>
    <row r="48" spans="1:18" x14ac:dyDescent="0.2">
      <c r="A48" s="4">
        <v>45069</v>
      </c>
      <c r="B48" s="6" t="s">
        <v>96</v>
      </c>
      <c r="C48" s="1" t="s">
        <v>57</v>
      </c>
      <c r="D48" s="8">
        <v>216030</v>
      </c>
      <c r="E48" s="8">
        <v>0</v>
      </c>
      <c r="F48" s="8">
        <f>+D48*0.19</f>
        <v>41045.699999999997</v>
      </c>
      <c r="G48" s="8">
        <f t="shared" si="8"/>
        <v>257075.7</v>
      </c>
      <c r="H48" s="1" t="s">
        <v>78</v>
      </c>
      <c r="I48" s="4">
        <v>45069</v>
      </c>
      <c r="J48" s="1" t="s">
        <v>59</v>
      </c>
      <c r="L48" s="10" t="s">
        <v>6</v>
      </c>
    </row>
    <row r="49" spans="1:18" x14ac:dyDescent="0.2">
      <c r="A49" s="20">
        <v>45070</v>
      </c>
      <c r="B49" s="21" t="s">
        <v>97</v>
      </c>
      <c r="C49" s="22" t="s">
        <v>88</v>
      </c>
      <c r="D49" s="23">
        <v>0</v>
      </c>
      <c r="E49" s="23">
        <v>0</v>
      </c>
      <c r="F49" s="23">
        <f>1096.19*805.21</f>
        <v>882663.14990000008</v>
      </c>
      <c r="G49" s="23">
        <f t="shared" si="8"/>
        <v>882663.14990000008</v>
      </c>
      <c r="H49" s="22" t="s">
        <v>78</v>
      </c>
      <c r="I49" s="4">
        <v>45069</v>
      </c>
      <c r="J49" s="1" t="s">
        <v>59</v>
      </c>
      <c r="L49" s="10" t="s">
        <v>6</v>
      </c>
      <c r="N49" s="8"/>
      <c r="O49" s="8"/>
      <c r="P49" s="8"/>
      <c r="R49" s="8"/>
    </row>
    <row r="50" spans="1:18" x14ac:dyDescent="0.2">
      <c r="A50" s="20">
        <v>45070</v>
      </c>
      <c r="B50" s="21" t="s">
        <v>98</v>
      </c>
      <c r="C50" s="22" t="s">
        <v>88</v>
      </c>
      <c r="D50" s="23">
        <v>0</v>
      </c>
      <c r="E50" s="23">
        <f>645.57*805.21</f>
        <v>519819.41970000009</v>
      </c>
      <c r="F50" s="23">
        <f>2166.98*805.21</f>
        <v>1744873.9658000001</v>
      </c>
      <c r="G50" s="23">
        <f t="shared" si="8"/>
        <v>2264693.3855000003</v>
      </c>
      <c r="H50" s="22" t="s">
        <v>78</v>
      </c>
      <c r="I50" s="4">
        <v>45069</v>
      </c>
      <c r="J50" s="1" t="s">
        <v>59</v>
      </c>
      <c r="L50" s="10" t="s">
        <v>6</v>
      </c>
      <c r="N50" s="8"/>
      <c r="O50" s="8"/>
      <c r="P50" s="8"/>
      <c r="R50" s="8"/>
    </row>
    <row r="51" spans="1:18" x14ac:dyDescent="0.2">
      <c r="A51" s="4">
        <v>45070</v>
      </c>
      <c r="B51" s="6" t="s">
        <v>99</v>
      </c>
      <c r="C51" s="1" t="s">
        <v>57</v>
      </c>
      <c r="D51" s="8">
        <v>43581</v>
      </c>
      <c r="E51" s="8">
        <v>0</v>
      </c>
      <c r="F51" s="8">
        <f>+D51*0.19</f>
        <v>8280.39</v>
      </c>
      <c r="G51" s="8">
        <f t="shared" si="8"/>
        <v>51861.39</v>
      </c>
      <c r="H51" s="1" t="s">
        <v>78</v>
      </c>
      <c r="I51" s="4">
        <v>45069</v>
      </c>
      <c r="J51" s="1" t="s">
        <v>59</v>
      </c>
      <c r="L51" s="10" t="s">
        <v>6</v>
      </c>
    </row>
    <row r="52" spans="1:18" x14ac:dyDescent="0.2">
      <c r="A52" s="20">
        <v>45071</v>
      </c>
      <c r="B52" s="21" t="s">
        <v>100</v>
      </c>
      <c r="C52" s="22" t="s">
        <v>88</v>
      </c>
      <c r="D52" s="23">
        <v>0</v>
      </c>
      <c r="E52" s="23">
        <v>0</v>
      </c>
      <c r="F52" s="23">
        <f>216.88*805.21</f>
        <v>174633.9448</v>
      </c>
      <c r="G52" s="23">
        <f t="shared" si="8"/>
        <v>174633.9448</v>
      </c>
      <c r="H52" s="22" t="s">
        <v>82</v>
      </c>
      <c r="I52" s="4">
        <v>45075</v>
      </c>
      <c r="J52" s="1" t="s">
        <v>101</v>
      </c>
      <c r="L52" s="10" t="s">
        <v>6</v>
      </c>
      <c r="N52" s="8"/>
      <c r="O52" s="8"/>
      <c r="P52" s="8"/>
      <c r="R52" s="8"/>
    </row>
    <row r="53" spans="1:18" x14ac:dyDescent="0.2">
      <c r="A53" s="20">
        <v>45075</v>
      </c>
      <c r="B53" s="21" t="s">
        <v>102</v>
      </c>
      <c r="C53" s="22" t="s">
        <v>88</v>
      </c>
      <c r="D53" s="23">
        <v>0</v>
      </c>
      <c r="E53" s="23">
        <f>155.88*805.21</f>
        <v>125516.1348</v>
      </c>
      <c r="F53" s="23">
        <f>523.24*805.21</f>
        <v>421318.08040000004</v>
      </c>
      <c r="G53" s="23">
        <f t="shared" si="8"/>
        <v>546834.21519999998</v>
      </c>
      <c r="H53" s="22" t="s">
        <v>84</v>
      </c>
      <c r="I53" s="4">
        <v>45075</v>
      </c>
      <c r="J53" s="1" t="s">
        <v>91</v>
      </c>
      <c r="L53" s="10" t="s">
        <v>6</v>
      </c>
      <c r="N53" s="8"/>
      <c r="O53" s="8"/>
      <c r="P53" s="8"/>
      <c r="R53" s="8"/>
    </row>
    <row r="54" spans="1:18" x14ac:dyDescent="0.2">
      <c r="A54" s="4">
        <v>45077</v>
      </c>
      <c r="B54" s="6" t="s">
        <v>103</v>
      </c>
      <c r="C54" s="1" t="s">
        <v>57</v>
      </c>
      <c r="D54" s="8">
        <v>108099</v>
      </c>
      <c r="E54" s="8">
        <v>0</v>
      </c>
      <c r="F54" s="8">
        <f t="shared" ref="F54:F60" si="9">+D54*0.19</f>
        <v>20538.810000000001</v>
      </c>
      <c r="G54" s="8">
        <f t="shared" si="8"/>
        <v>128637.81</v>
      </c>
      <c r="H54" s="1" t="s">
        <v>72</v>
      </c>
      <c r="I54" s="4">
        <v>45092</v>
      </c>
      <c r="J54" s="1" t="s">
        <v>26</v>
      </c>
      <c r="L54" s="10" t="s">
        <v>6</v>
      </c>
    </row>
    <row r="55" spans="1:18" x14ac:dyDescent="0.2">
      <c r="A55" s="4">
        <v>45077</v>
      </c>
      <c r="B55" s="6" t="s">
        <v>104</v>
      </c>
      <c r="C55" s="1" t="s">
        <v>57</v>
      </c>
      <c r="D55" s="8">
        <v>108099</v>
      </c>
      <c r="E55" s="8">
        <v>0</v>
      </c>
      <c r="F55" s="8">
        <f t="shared" si="9"/>
        <v>20538.810000000001</v>
      </c>
      <c r="G55" s="8">
        <f t="shared" si="8"/>
        <v>128637.81</v>
      </c>
      <c r="H55" s="1" t="s">
        <v>74</v>
      </c>
      <c r="I55" s="4">
        <v>45092</v>
      </c>
      <c r="J55" s="1" t="s">
        <v>26</v>
      </c>
      <c r="L55" s="10" t="s">
        <v>6</v>
      </c>
    </row>
    <row r="56" spans="1:18" x14ac:dyDescent="0.2">
      <c r="A56" s="4">
        <v>45077</v>
      </c>
      <c r="B56" s="6" t="s">
        <v>105</v>
      </c>
      <c r="C56" s="1" t="s">
        <v>57</v>
      </c>
      <c r="D56" s="8">
        <v>108099</v>
      </c>
      <c r="E56" s="8">
        <v>0</v>
      </c>
      <c r="F56" s="8">
        <f t="shared" si="9"/>
        <v>20538.810000000001</v>
      </c>
      <c r="G56" s="8">
        <f t="shared" si="8"/>
        <v>128637.81</v>
      </c>
      <c r="H56" s="1" t="s">
        <v>82</v>
      </c>
      <c r="I56" s="4">
        <v>45092</v>
      </c>
      <c r="J56" s="1" t="s">
        <v>26</v>
      </c>
      <c r="L56" s="10" t="s">
        <v>6</v>
      </c>
    </row>
    <row r="57" spans="1:18" x14ac:dyDescent="0.2">
      <c r="A57" s="4">
        <v>45077</v>
      </c>
      <c r="B57" s="6" t="s">
        <v>106</v>
      </c>
      <c r="C57" s="1" t="s">
        <v>57</v>
      </c>
      <c r="D57" s="8">
        <v>108099</v>
      </c>
      <c r="E57" s="8">
        <v>0</v>
      </c>
      <c r="F57" s="8">
        <f t="shared" si="9"/>
        <v>20538.810000000001</v>
      </c>
      <c r="G57" s="8">
        <f t="shared" si="8"/>
        <v>128637.81</v>
      </c>
      <c r="H57" s="1" t="s">
        <v>84</v>
      </c>
      <c r="I57" s="4">
        <v>45092</v>
      </c>
      <c r="J57" s="1" t="s">
        <v>26</v>
      </c>
      <c r="L57" s="10" t="s">
        <v>6</v>
      </c>
    </row>
    <row r="58" spans="1:18" x14ac:dyDescent="0.2">
      <c r="A58" s="4">
        <v>45078</v>
      </c>
      <c r="B58" s="6" t="s">
        <v>107</v>
      </c>
      <c r="C58" s="1" t="s">
        <v>24</v>
      </c>
      <c r="D58" s="8">
        <v>0</v>
      </c>
      <c r="E58" s="8">
        <v>730449</v>
      </c>
      <c r="F58" s="8">
        <f t="shared" si="9"/>
        <v>0</v>
      </c>
      <c r="G58" s="8">
        <f t="shared" si="8"/>
        <v>730449</v>
      </c>
      <c r="H58" s="1" t="s">
        <v>25</v>
      </c>
      <c r="I58" s="4">
        <v>45092</v>
      </c>
      <c r="J58" s="1" t="s">
        <v>26</v>
      </c>
      <c r="L58" s="10" t="s">
        <v>6</v>
      </c>
    </row>
    <row r="59" spans="1:18" x14ac:dyDescent="0.2">
      <c r="A59" s="4">
        <v>45082</v>
      </c>
      <c r="B59" s="6" t="s">
        <v>108</v>
      </c>
      <c r="C59" s="1" t="s">
        <v>109</v>
      </c>
      <c r="D59" s="8">
        <v>119696</v>
      </c>
      <c r="E59" s="8">
        <v>0</v>
      </c>
      <c r="F59" s="8">
        <f t="shared" si="9"/>
        <v>22742.240000000002</v>
      </c>
      <c r="G59" s="8">
        <f t="shared" si="8"/>
        <v>142438.24</v>
      </c>
      <c r="H59" s="1" t="s">
        <v>110</v>
      </c>
      <c r="I59" s="4">
        <v>45084</v>
      </c>
      <c r="J59" s="1" t="s">
        <v>59</v>
      </c>
      <c r="L59" s="10" t="s">
        <v>6</v>
      </c>
      <c r="R59" s="8"/>
    </row>
    <row r="60" spans="1:18" x14ac:dyDescent="0.2">
      <c r="A60" s="4">
        <v>45082</v>
      </c>
      <c r="B60" s="6" t="s">
        <v>111</v>
      </c>
      <c r="C60" s="1" t="s">
        <v>109</v>
      </c>
      <c r="D60" s="8">
        <v>0</v>
      </c>
      <c r="E60" s="8">
        <v>928925</v>
      </c>
      <c r="F60" s="8">
        <f t="shared" si="9"/>
        <v>0</v>
      </c>
      <c r="G60" s="8">
        <f t="shared" si="8"/>
        <v>928925</v>
      </c>
      <c r="H60" s="1" t="s">
        <v>110</v>
      </c>
      <c r="I60" s="4">
        <v>45084</v>
      </c>
      <c r="J60" s="1" t="s">
        <v>59</v>
      </c>
      <c r="L60" s="10" t="s">
        <v>6</v>
      </c>
      <c r="R60" s="8"/>
    </row>
    <row r="61" spans="1:18" x14ac:dyDescent="0.2">
      <c r="A61" s="20">
        <v>45084</v>
      </c>
      <c r="B61" s="21" t="s">
        <v>112</v>
      </c>
      <c r="C61" s="22" t="s">
        <v>88</v>
      </c>
      <c r="D61" s="23">
        <v>0</v>
      </c>
      <c r="E61" s="23">
        <f>464.96*802.14</f>
        <v>372963.01439999999</v>
      </c>
      <c r="F61" s="23">
        <f>1560.71*802.14</f>
        <v>1251907.9194</v>
      </c>
      <c r="G61" s="23">
        <f t="shared" si="8"/>
        <v>1624870.9338</v>
      </c>
      <c r="H61" s="22" t="s">
        <v>110</v>
      </c>
      <c r="I61" s="4">
        <v>45086</v>
      </c>
      <c r="J61" s="1" t="s">
        <v>59</v>
      </c>
      <c r="L61" s="10" t="s">
        <v>6</v>
      </c>
      <c r="N61" s="8"/>
      <c r="O61" s="8"/>
      <c r="P61" s="8"/>
      <c r="R61" s="8"/>
    </row>
    <row r="62" spans="1:18" x14ac:dyDescent="0.2">
      <c r="A62" s="20">
        <v>45084</v>
      </c>
      <c r="B62" s="21" t="s">
        <v>113</v>
      </c>
      <c r="C62" s="22" t="s">
        <v>88</v>
      </c>
      <c r="D62" s="23">
        <v>0</v>
      </c>
      <c r="E62" s="23">
        <v>0</v>
      </c>
      <c r="F62" s="23">
        <f>14529.2*802.14</f>
        <v>11654452.488</v>
      </c>
      <c r="G62" s="23">
        <f t="shared" si="8"/>
        <v>11654452.488</v>
      </c>
      <c r="H62" s="22" t="s">
        <v>110</v>
      </c>
      <c r="I62" s="4">
        <v>45086</v>
      </c>
      <c r="J62" s="1" t="s">
        <v>59</v>
      </c>
      <c r="L62" s="10" t="s">
        <v>6</v>
      </c>
      <c r="N62" s="8"/>
      <c r="O62" s="8"/>
      <c r="P62" s="8"/>
      <c r="R62" s="8"/>
    </row>
    <row r="63" spans="1:18" x14ac:dyDescent="0.2">
      <c r="A63" s="4">
        <v>45085</v>
      </c>
      <c r="B63" s="6" t="s">
        <v>114</v>
      </c>
      <c r="C63" s="1" t="s">
        <v>57</v>
      </c>
      <c r="D63" s="8">
        <v>219799</v>
      </c>
      <c r="E63" s="8">
        <v>0</v>
      </c>
      <c r="F63" s="8">
        <f t="shared" ref="F63:F71" si="10">+D63*0.19</f>
        <v>41761.81</v>
      </c>
      <c r="G63" s="8">
        <f t="shared" si="8"/>
        <v>261560.81</v>
      </c>
      <c r="H63" s="1" t="s">
        <v>110</v>
      </c>
      <c r="I63" s="4">
        <v>45086</v>
      </c>
      <c r="J63" s="1" t="s">
        <v>59</v>
      </c>
      <c r="L63" s="10" t="s">
        <v>6</v>
      </c>
      <c r="R63" s="8"/>
    </row>
    <row r="64" spans="1:18" x14ac:dyDescent="0.2">
      <c r="A64" s="4">
        <v>45085</v>
      </c>
      <c r="B64" s="6" t="s">
        <v>115</v>
      </c>
      <c r="C64" s="1" t="s">
        <v>57</v>
      </c>
      <c r="D64" s="8">
        <v>216365</v>
      </c>
      <c r="E64" s="8">
        <v>0</v>
      </c>
      <c r="F64" s="8">
        <f t="shared" si="10"/>
        <v>41109.35</v>
      </c>
      <c r="G64" s="8">
        <f t="shared" si="8"/>
        <v>257474.35</v>
      </c>
      <c r="H64" s="1" t="s">
        <v>110</v>
      </c>
      <c r="I64" s="4">
        <v>45086</v>
      </c>
      <c r="J64" s="1" t="s">
        <v>59</v>
      </c>
      <c r="L64" s="10" t="s">
        <v>6</v>
      </c>
      <c r="R64" s="8"/>
    </row>
    <row r="65" spans="1:18" x14ac:dyDescent="0.2">
      <c r="A65" s="4">
        <v>45086</v>
      </c>
      <c r="B65" s="6" t="s">
        <v>116</v>
      </c>
      <c r="C65" s="1" t="s">
        <v>77</v>
      </c>
      <c r="D65" s="8">
        <v>290592</v>
      </c>
      <c r="E65" s="8">
        <v>0</v>
      </c>
      <c r="F65" s="8">
        <f t="shared" si="10"/>
        <v>55212.480000000003</v>
      </c>
      <c r="G65" s="8">
        <f t="shared" si="8"/>
        <v>345804.48</v>
      </c>
      <c r="H65" s="1" t="s">
        <v>110</v>
      </c>
      <c r="I65" s="4">
        <v>45086</v>
      </c>
      <c r="J65" s="1" t="s">
        <v>59</v>
      </c>
      <c r="L65" s="10" t="s">
        <v>6</v>
      </c>
      <c r="R65" s="8"/>
    </row>
    <row r="66" spans="1:18" x14ac:dyDescent="0.2">
      <c r="A66" s="4">
        <v>45088</v>
      </c>
      <c r="B66" s="6" t="s">
        <v>117</v>
      </c>
      <c r="C66" s="1" t="s">
        <v>80</v>
      </c>
      <c r="D66" s="8">
        <v>40000</v>
      </c>
      <c r="E66" s="8">
        <v>0</v>
      </c>
      <c r="F66" s="8">
        <f t="shared" si="10"/>
        <v>7600</v>
      </c>
      <c r="G66" s="8">
        <f t="shared" si="8"/>
        <v>47600</v>
      </c>
      <c r="H66" s="1" t="s">
        <v>110</v>
      </c>
      <c r="I66" s="4">
        <v>45086</v>
      </c>
      <c r="J66" s="1" t="s">
        <v>59</v>
      </c>
      <c r="L66" s="10" t="s">
        <v>6</v>
      </c>
      <c r="R66" s="8"/>
    </row>
    <row r="67" spans="1:18" x14ac:dyDescent="0.2">
      <c r="A67" s="4">
        <v>45089</v>
      </c>
      <c r="B67" s="6" t="s">
        <v>118</v>
      </c>
      <c r="C67" s="1" t="s">
        <v>109</v>
      </c>
      <c r="D67" s="8">
        <v>118080</v>
      </c>
      <c r="E67" s="8">
        <v>0</v>
      </c>
      <c r="F67" s="8">
        <f t="shared" si="10"/>
        <v>22435.200000000001</v>
      </c>
      <c r="G67" s="8">
        <f t="shared" si="8"/>
        <v>140515.20000000001</v>
      </c>
      <c r="H67" s="1" t="s">
        <v>119</v>
      </c>
      <c r="I67" s="4">
        <v>45092</v>
      </c>
      <c r="J67" s="1" t="s">
        <v>59</v>
      </c>
      <c r="L67" s="10" t="s">
        <v>6</v>
      </c>
      <c r="R67" s="8"/>
    </row>
    <row r="68" spans="1:18" x14ac:dyDescent="0.2">
      <c r="A68" s="4">
        <v>45089</v>
      </c>
      <c r="B68" s="6" t="s">
        <v>120</v>
      </c>
      <c r="C68" s="1" t="s">
        <v>109</v>
      </c>
      <c r="D68" s="8">
        <v>0</v>
      </c>
      <c r="E68" s="8">
        <v>1019093</v>
      </c>
      <c r="F68" s="8">
        <f t="shared" si="10"/>
        <v>0</v>
      </c>
      <c r="G68" s="8">
        <f t="shared" si="8"/>
        <v>1019093</v>
      </c>
      <c r="H68" s="1" t="s">
        <v>119</v>
      </c>
      <c r="I68" s="4">
        <v>45092</v>
      </c>
      <c r="J68" s="1" t="s">
        <v>59</v>
      </c>
      <c r="L68" s="10" t="s">
        <v>6</v>
      </c>
      <c r="R68" s="8"/>
    </row>
    <row r="69" spans="1:18" x14ac:dyDescent="0.2">
      <c r="A69" s="4">
        <v>45090</v>
      </c>
      <c r="B69" s="6" t="s">
        <v>121</v>
      </c>
      <c r="C69" s="1" t="s">
        <v>57</v>
      </c>
      <c r="D69" s="8">
        <v>257664</v>
      </c>
      <c r="E69" s="8">
        <v>0</v>
      </c>
      <c r="F69" s="8">
        <f t="shared" si="10"/>
        <v>48956.160000000003</v>
      </c>
      <c r="G69" s="8">
        <f t="shared" si="8"/>
        <v>306620.16000000003</v>
      </c>
      <c r="H69" s="1" t="s">
        <v>119</v>
      </c>
      <c r="I69" s="4">
        <v>45093</v>
      </c>
      <c r="J69" s="1" t="s">
        <v>59</v>
      </c>
      <c r="L69" s="10" t="s">
        <v>6</v>
      </c>
      <c r="R69" s="8"/>
    </row>
    <row r="70" spans="1:18" x14ac:dyDescent="0.2">
      <c r="A70" s="4">
        <v>45092</v>
      </c>
      <c r="B70" s="6" t="s">
        <v>122</v>
      </c>
      <c r="C70" s="1" t="s">
        <v>68</v>
      </c>
      <c r="D70" s="8">
        <v>246487</v>
      </c>
      <c r="E70" s="8">
        <v>0</v>
      </c>
      <c r="F70" s="8">
        <f t="shared" si="10"/>
        <v>46832.53</v>
      </c>
      <c r="G70" s="8">
        <f t="shared" si="8"/>
        <v>293319.53000000003</v>
      </c>
      <c r="H70" s="1" t="s">
        <v>110</v>
      </c>
      <c r="I70" s="4">
        <v>45086</v>
      </c>
      <c r="J70" s="1" t="s">
        <v>59</v>
      </c>
      <c r="L70" s="10" t="s">
        <v>6</v>
      </c>
    </row>
    <row r="71" spans="1:18" x14ac:dyDescent="0.2">
      <c r="A71" s="4">
        <v>45092</v>
      </c>
      <c r="B71" s="6" t="s">
        <v>123</v>
      </c>
      <c r="C71" s="1" t="s">
        <v>68</v>
      </c>
      <c r="D71" s="8">
        <v>128057</v>
      </c>
      <c r="E71" s="8">
        <v>0</v>
      </c>
      <c r="F71" s="8">
        <f t="shared" si="10"/>
        <v>24330.83</v>
      </c>
      <c r="G71" s="8">
        <f t="shared" si="8"/>
        <v>152387.83000000002</v>
      </c>
      <c r="H71" s="1" t="s">
        <v>110</v>
      </c>
      <c r="I71" s="4">
        <v>45086</v>
      </c>
      <c r="J71" s="1" t="s">
        <v>59</v>
      </c>
      <c r="L71" s="10" t="s">
        <v>6</v>
      </c>
    </row>
    <row r="72" spans="1:18" x14ac:dyDescent="0.2">
      <c r="A72" s="20">
        <v>45093</v>
      </c>
      <c r="B72" s="21" t="s">
        <v>124</v>
      </c>
      <c r="C72" s="22" t="s">
        <v>88</v>
      </c>
      <c r="D72" s="23">
        <v>0</v>
      </c>
      <c r="E72" s="23">
        <v>0</v>
      </c>
      <c r="F72" s="23">
        <f>16625.29*802.14</f>
        <v>13335810.1206</v>
      </c>
      <c r="G72" s="23">
        <f t="shared" si="8"/>
        <v>13335810.1206</v>
      </c>
      <c r="H72" s="22" t="s">
        <v>119</v>
      </c>
      <c r="I72" s="4">
        <v>45093</v>
      </c>
      <c r="J72" s="1" t="s">
        <v>59</v>
      </c>
      <c r="L72" s="10" t="s">
        <v>6</v>
      </c>
      <c r="N72" s="8"/>
      <c r="O72" s="8"/>
      <c r="P72" s="8"/>
      <c r="R72" s="8"/>
    </row>
    <row r="73" spans="1:18" x14ac:dyDescent="0.2">
      <c r="A73" s="20">
        <v>45093</v>
      </c>
      <c r="B73" s="21" t="s">
        <v>125</v>
      </c>
      <c r="C73" s="22" t="s">
        <v>88</v>
      </c>
      <c r="D73" s="23">
        <v>0</v>
      </c>
      <c r="E73" s="23">
        <f>575.49*802.14</f>
        <v>461623.54859999998</v>
      </c>
      <c r="F73" s="23">
        <f>1931.74*802.14</f>
        <v>1549525.9236000001</v>
      </c>
      <c r="G73" s="23">
        <f t="shared" si="8"/>
        <v>2011149.4722000002</v>
      </c>
      <c r="H73" s="22" t="s">
        <v>119</v>
      </c>
      <c r="I73" s="4">
        <v>45093</v>
      </c>
      <c r="J73" s="1" t="s">
        <v>59</v>
      </c>
      <c r="L73" s="10" t="s">
        <v>6</v>
      </c>
      <c r="N73" s="8"/>
      <c r="O73" s="8"/>
      <c r="P73" s="8"/>
      <c r="R73" s="8"/>
    </row>
    <row r="74" spans="1:18" x14ac:dyDescent="0.2">
      <c r="A74" s="4">
        <v>45096</v>
      </c>
      <c r="B74" s="6" t="s">
        <v>126</v>
      </c>
      <c r="C74" s="1" t="s">
        <v>77</v>
      </c>
      <c r="D74" s="8">
        <v>326736</v>
      </c>
      <c r="E74" s="8">
        <v>0</v>
      </c>
      <c r="F74" s="8">
        <f t="shared" ref="F74:F81" si="11">+D74*0.19</f>
        <v>62079.840000000004</v>
      </c>
      <c r="G74" s="8">
        <f t="shared" si="8"/>
        <v>388815.84</v>
      </c>
      <c r="H74" s="1" t="s">
        <v>119</v>
      </c>
      <c r="I74" s="4">
        <v>45093</v>
      </c>
      <c r="J74" s="1" t="s">
        <v>59</v>
      </c>
      <c r="K74" s="16"/>
      <c r="L74" s="10" t="s">
        <v>6</v>
      </c>
      <c r="M74" s="16"/>
      <c r="N74" s="16"/>
      <c r="O74" s="16"/>
      <c r="P74" s="16"/>
      <c r="Q74" s="16"/>
      <c r="R74" s="16"/>
    </row>
    <row r="75" spans="1:18" s="16" customFormat="1" x14ac:dyDescent="0.2">
      <c r="A75" s="4">
        <v>45096</v>
      </c>
      <c r="B75" s="6" t="s">
        <v>127</v>
      </c>
      <c r="C75" s="1" t="s">
        <v>57</v>
      </c>
      <c r="D75" s="8">
        <v>39668</v>
      </c>
      <c r="E75" s="8">
        <v>0</v>
      </c>
      <c r="F75" s="8">
        <f t="shared" si="11"/>
        <v>7536.92</v>
      </c>
      <c r="G75" s="8">
        <f t="shared" si="8"/>
        <v>47204.92</v>
      </c>
      <c r="H75" s="1" t="s">
        <v>110</v>
      </c>
      <c r="I75" s="4">
        <v>45086</v>
      </c>
      <c r="J75" s="1" t="s">
        <v>59</v>
      </c>
      <c r="K75" s="1"/>
      <c r="L75" s="10" t="s">
        <v>6</v>
      </c>
      <c r="M75" s="1"/>
      <c r="N75" s="1"/>
      <c r="O75" s="1"/>
      <c r="P75" s="1"/>
      <c r="Q75" s="1"/>
      <c r="R75" s="1"/>
    </row>
    <row r="76" spans="1:18" x14ac:dyDescent="0.2">
      <c r="A76" s="4">
        <v>45096</v>
      </c>
      <c r="B76" s="9" t="s">
        <v>128</v>
      </c>
      <c r="C76" s="1" t="s">
        <v>51</v>
      </c>
      <c r="D76" s="8">
        <v>87269</v>
      </c>
      <c r="E76" s="8">
        <v>0</v>
      </c>
      <c r="F76" s="8">
        <f t="shared" si="11"/>
        <v>16581.11</v>
      </c>
      <c r="G76" s="8">
        <f t="shared" si="8"/>
        <v>103850.11</v>
      </c>
      <c r="H76" s="1" t="s">
        <v>52</v>
      </c>
      <c r="I76" s="4">
        <v>45096</v>
      </c>
      <c r="J76" s="1" t="s">
        <v>129</v>
      </c>
      <c r="L76" s="10" t="s">
        <v>6</v>
      </c>
    </row>
    <row r="77" spans="1:18" x14ac:dyDescent="0.2">
      <c r="A77" s="4">
        <v>45096</v>
      </c>
      <c r="B77" s="6" t="s">
        <v>130</v>
      </c>
      <c r="C77" s="1" t="s">
        <v>68</v>
      </c>
      <c r="D77" s="8">
        <v>-82150</v>
      </c>
      <c r="E77" s="8">
        <v>0</v>
      </c>
      <c r="F77" s="8">
        <f t="shared" si="11"/>
        <v>-15608.5</v>
      </c>
      <c r="G77" s="8">
        <f t="shared" si="8"/>
        <v>-97758.5</v>
      </c>
      <c r="H77" s="1" t="s">
        <v>110</v>
      </c>
      <c r="I77" s="4">
        <v>45086</v>
      </c>
      <c r="J77" s="1" t="s">
        <v>59</v>
      </c>
      <c r="L77" s="10" t="s">
        <v>6</v>
      </c>
    </row>
    <row r="78" spans="1:18" x14ac:dyDescent="0.2">
      <c r="A78" s="4">
        <v>45097</v>
      </c>
      <c r="B78" s="6" t="s">
        <v>131</v>
      </c>
      <c r="C78" s="1" t="s">
        <v>80</v>
      </c>
      <c r="D78" s="8">
        <v>43000</v>
      </c>
      <c r="E78" s="8">
        <v>0</v>
      </c>
      <c r="F78" s="8">
        <f t="shared" si="11"/>
        <v>8170</v>
      </c>
      <c r="G78" s="8">
        <f t="shared" si="8"/>
        <v>51170</v>
      </c>
      <c r="H78" s="1" t="s">
        <v>119</v>
      </c>
      <c r="I78" s="4">
        <v>45093</v>
      </c>
      <c r="J78" s="1" t="s">
        <v>59</v>
      </c>
      <c r="L78" s="10" t="s">
        <v>6</v>
      </c>
    </row>
    <row r="79" spans="1:18" x14ac:dyDescent="0.2">
      <c r="A79" s="4">
        <v>45099</v>
      </c>
      <c r="B79" s="6" t="s">
        <v>132</v>
      </c>
      <c r="C79" s="1" t="s">
        <v>133</v>
      </c>
      <c r="D79" s="8">
        <v>865546</v>
      </c>
      <c r="E79" s="8">
        <v>0</v>
      </c>
      <c r="F79" s="8">
        <f t="shared" si="11"/>
        <v>164453.74</v>
      </c>
      <c r="G79" s="8">
        <f t="shared" si="8"/>
        <v>1029999.74</v>
      </c>
      <c r="H79" s="1" t="s">
        <v>134</v>
      </c>
      <c r="I79" s="4">
        <v>45093</v>
      </c>
      <c r="J79" s="1" t="s">
        <v>26</v>
      </c>
      <c r="L79" s="10" t="s">
        <v>6</v>
      </c>
    </row>
    <row r="80" spans="1:18" x14ac:dyDescent="0.2">
      <c r="A80" s="4">
        <v>45104</v>
      </c>
      <c r="B80" s="6" t="s">
        <v>135</v>
      </c>
      <c r="C80" s="1" t="s">
        <v>68</v>
      </c>
      <c r="D80" s="8">
        <v>277460</v>
      </c>
      <c r="E80" s="8">
        <v>0</v>
      </c>
      <c r="F80" s="8">
        <f t="shared" si="11"/>
        <v>52717.4</v>
      </c>
      <c r="G80" s="8">
        <f t="shared" si="8"/>
        <v>330177.40000000002</v>
      </c>
      <c r="H80" s="1" t="s">
        <v>119</v>
      </c>
      <c r="I80" s="4">
        <v>45093</v>
      </c>
      <c r="J80" s="1" t="s">
        <v>59</v>
      </c>
      <c r="L80" s="10" t="s">
        <v>6</v>
      </c>
    </row>
    <row r="81" spans="1:18" x14ac:dyDescent="0.2">
      <c r="A81" s="4">
        <v>45104</v>
      </c>
      <c r="B81" s="6" t="s">
        <v>136</v>
      </c>
      <c r="C81" s="1" t="s">
        <v>68</v>
      </c>
      <c r="D81" s="8">
        <v>45907</v>
      </c>
      <c r="E81" s="8">
        <v>0</v>
      </c>
      <c r="F81" s="8">
        <f t="shared" si="11"/>
        <v>8722.33</v>
      </c>
      <c r="G81" s="8">
        <f t="shared" si="8"/>
        <v>54629.33</v>
      </c>
      <c r="H81" s="1" t="s">
        <v>119</v>
      </c>
      <c r="I81" s="4">
        <v>45093</v>
      </c>
      <c r="J81" s="1" t="s">
        <v>59</v>
      </c>
      <c r="L81" s="10" t="s">
        <v>6</v>
      </c>
    </row>
    <row r="82" spans="1:18" x14ac:dyDescent="0.2">
      <c r="A82" s="20">
        <v>45105</v>
      </c>
      <c r="B82" s="21" t="s">
        <v>137</v>
      </c>
      <c r="C82" s="22" t="s">
        <v>88</v>
      </c>
      <c r="D82" s="23">
        <v>0</v>
      </c>
      <c r="E82" s="23">
        <f>1069.68*802.14</f>
        <v>858033.1152</v>
      </c>
      <c r="F82" s="23">
        <f>3590.59*802.14</f>
        <v>2880155.8626000001</v>
      </c>
      <c r="G82" s="23">
        <f t="shared" si="8"/>
        <v>3738188.9778</v>
      </c>
      <c r="H82" s="22" t="s">
        <v>138</v>
      </c>
      <c r="I82" s="4">
        <v>45104</v>
      </c>
      <c r="J82" s="1" t="s">
        <v>59</v>
      </c>
      <c r="L82" s="10" t="s">
        <v>6</v>
      </c>
    </row>
    <row r="83" spans="1:18" x14ac:dyDescent="0.2">
      <c r="A83" s="4">
        <v>45105</v>
      </c>
      <c r="B83" s="9" t="s">
        <v>139</v>
      </c>
      <c r="C83" s="1" t="s">
        <v>80</v>
      </c>
      <c r="D83" s="8">
        <v>50000</v>
      </c>
      <c r="E83" s="8">
        <v>0</v>
      </c>
      <c r="F83" s="8">
        <f>+D83*0.19</f>
        <v>9500</v>
      </c>
      <c r="G83" s="8">
        <f t="shared" si="8"/>
        <v>59500</v>
      </c>
      <c r="H83" s="1" t="s">
        <v>138</v>
      </c>
      <c r="I83" s="4">
        <v>45104</v>
      </c>
      <c r="J83" s="1" t="s">
        <v>59</v>
      </c>
      <c r="L83" s="10" t="s">
        <v>6</v>
      </c>
    </row>
    <row r="84" spans="1:18" x14ac:dyDescent="0.2">
      <c r="A84" s="12">
        <v>45107</v>
      </c>
      <c r="B84" s="19" t="s">
        <v>140</v>
      </c>
      <c r="C84" s="14" t="s">
        <v>68</v>
      </c>
      <c r="D84" s="11">
        <v>128057</v>
      </c>
      <c r="E84" s="11">
        <v>0</v>
      </c>
      <c r="F84" s="11">
        <f>+D84*0.19</f>
        <v>24330.83</v>
      </c>
      <c r="G84" s="11">
        <f t="shared" si="8"/>
        <v>152387.83000000002</v>
      </c>
      <c r="H84" s="1" t="s">
        <v>138</v>
      </c>
      <c r="I84" s="4">
        <v>45104</v>
      </c>
      <c r="J84" s="1" t="s">
        <v>59</v>
      </c>
      <c r="L84" s="10" t="s">
        <v>6</v>
      </c>
    </row>
    <row r="85" spans="1:18" x14ac:dyDescent="0.2">
      <c r="D85" s="8">
        <f>SUM(D42:D84)</f>
        <v>4150252</v>
      </c>
      <c r="E85" s="8">
        <f t="shared" ref="E85:G85" si="12">SUM(E42:E84)</f>
        <v>6916330.7809000006</v>
      </c>
      <c r="F85" s="8">
        <f t="shared" si="12"/>
        <v>37701349.393299997</v>
      </c>
      <c r="G85" s="8">
        <f t="shared" si="12"/>
        <v>48767932.174200006</v>
      </c>
    </row>
    <row r="87" spans="1:18" x14ac:dyDescent="0.2">
      <c r="A87" s="4">
        <v>45093</v>
      </c>
      <c r="B87" s="9" t="s">
        <v>141</v>
      </c>
      <c r="C87" s="1" t="s">
        <v>57</v>
      </c>
      <c r="D87" s="8">
        <v>216436</v>
      </c>
      <c r="E87" s="8">
        <v>0</v>
      </c>
      <c r="F87" s="8">
        <f t="shared" ref="F87:F96" si="13">+D87*0.19</f>
        <v>41122.840000000004</v>
      </c>
      <c r="G87" s="8">
        <f t="shared" ref="G87:G128" si="14">SUM(D87:F87)</f>
        <v>257558.84</v>
      </c>
      <c r="H87" s="1" t="s">
        <v>119</v>
      </c>
      <c r="I87" s="4">
        <v>45093</v>
      </c>
      <c r="J87" s="1" t="s">
        <v>59</v>
      </c>
      <c r="L87" s="10" t="s">
        <v>7</v>
      </c>
    </row>
    <row r="88" spans="1:18" x14ac:dyDescent="0.2">
      <c r="A88" s="4">
        <v>45099</v>
      </c>
      <c r="B88" s="9" t="s">
        <v>142</v>
      </c>
      <c r="C88" s="1" t="s">
        <v>57</v>
      </c>
      <c r="D88" s="8">
        <v>40095</v>
      </c>
      <c r="E88" s="8">
        <v>0</v>
      </c>
      <c r="F88" s="8">
        <f t="shared" si="13"/>
        <v>7618.05</v>
      </c>
      <c r="G88" s="8">
        <f t="shared" si="14"/>
        <v>47713.05</v>
      </c>
      <c r="H88" s="1" t="s">
        <v>119</v>
      </c>
      <c r="I88" s="4">
        <v>45093</v>
      </c>
      <c r="J88" s="1" t="s">
        <v>59</v>
      </c>
      <c r="L88" s="10" t="s">
        <v>7</v>
      </c>
    </row>
    <row r="89" spans="1:18" x14ac:dyDescent="0.2">
      <c r="A89" s="4">
        <v>45100</v>
      </c>
      <c r="B89" s="9" t="s">
        <v>143</v>
      </c>
      <c r="C89" s="1" t="s">
        <v>57</v>
      </c>
      <c r="D89" s="8">
        <v>216486</v>
      </c>
      <c r="E89" s="8">
        <v>0</v>
      </c>
      <c r="F89" s="8">
        <f t="shared" si="13"/>
        <v>41132.340000000004</v>
      </c>
      <c r="G89" s="8">
        <f t="shared" si="14"/>
        <v>257618.34</v>
      </c>
      <c r="H89" s="1" t="s">
        <v>138</v>
      </c>
      <c r="I89" s="4">
        <v>45104</v>
      </c>
      <c r="J89" s="1" t="s">
        <v>59</v>
      </c>
      <c r="L89" s="10" t="s">
        <v>7</v>
      </c>
    </row>
    <row r="90" spans="1:18" x14ac:dyDescent="0.2">
      <c r="A90" s="4">
        <v>45104</v>
      </c>
      <c r="B90" s="9" t="s">
        <v>144</v>
      </c>
      <c r="C90" s="1" t="s">
        <v>145</v>
      </c>
      <c r="D90" s="8">
        <v>264540</v>
      </c>
      <c r="E90" s="8">
        <v>0</v>
      </c>
      <c r="F90" s="8">
        <f t="shared" si="13"/>
        <v>50262.6</v>
      </c>
      <c r="G90" s="8">
        <f t="shared" si="14"/>
        <v>314802.59999999998</v>
      </c>
      <c r="H90" s="1" t="s">
        <v>138</v>
      </c>
      <c r="I90" s="4">
        <v>45104</v>
      </c>
      <c r="J90" s="1" t="s">
        <v>59</v>
      </c>
      <c r="L90" s="10" t="s">
        <v>7</v>
      </c>
    </row>
    <row r="91" spans="1:18" x14ac:dyDescent="0.2">
      <c r="A91" s="4">
        <v>45104</v>
      </c>
      <c r="B91" s="9" t="s">
        <v>146</v>
      </c>
      <c r="C91" s="1" t="s">
        <v>145</v>
      </c>
      <c r="D91" s="8">
        <v>0</v>
      </c>
      <c r="E91" s="8">
        <v>3431304</v>
      </c>
      <c r="F91" s="8">
        <f t="shared" si="13"/>
        <v>0</v>
      </c>
      <c r="G91" s="8">
        <f t="shared" si="14"/>
        <v>3431304</v>
      </c>
      <c r="H91" s="1" t="s">
        <v>138</v>
      </c>
      <c r="I91" s="4">
        <v>45104</v>
      </c>
      <c r="J91" s="1" t="s">
        <v>59</v>
      </c>
      <c r="L91" s="10" t="s">
        <v>7</v>
      </c>
    </row>
    <row r="92" spans="1:18" x14ac:dyDescent="0.2">
      <c r="A92" s="4">
        <v>45105</v>
      </c>
      <c r="B92" s="9" t="s">
        <v>147</v>
      </c>
      <c r="C92" s="1" t="s">
        <v>148</v>
      </c>
      <c r="D92" s="8">
        <v>100789</v>
      </c>
      <c r="E92" s="8">
        <v>0</v>
      </c>
      <c r="F92" s="8">
        <f t="shared" si="13"/>
        <v>19149.91</v>
      </c>
      <c r="G92" s="8">
        <f t="shared" si="14"/>
        <v>119938.91</v>
      </c>
      <c r="H92" s="1" t="s">
        <v>138</v>
      </c>
      <c r="I92" s="4">
        <v>45104</v>
      </c>
      <c r="J92" s="1" t="s">
        <v>59</v>
      </c>
      <c r="L92" s="10" t="s">
        <v>7</v>
      </c>
    </row>
    <row r="93" spans="1:18" x14ac:dyDescent="0.2">
      <c r="A93" s="4">
        <v>45107</v>
      </c>
      <c r="B93" s="9" t="s">
        <v>149</v>
      </c>
      <c r="C93" s="1" t="s">
        <v>57</v>
      </c>
      <c r="D93" s="8">
        <v>54879</v>
      </c>
      <c r="E93" s="8">
        <v>0</v>
      </c>
      <c r="F93" s="8">
        <f t="shared" si="13"/>
        <v>10427.01</v>
      </c>
      <c r="G93" s="8">
        <f t="shared" si="14"/>
        <v>65306.01</v>
      </c>
      <c r="H93" s="1" t="s">
        <v>138</v>
      </c>
      <c r="I93" s="4">
        <v>45104</v>
      </c>
      <c r="J93" s="1" t="s">
        <v>59</v>
      </c>
      <c r="L93" s="10" t="s">
        <v>7</v>
      </c>
    </row>
    <row r="94" spans="1:18" x14ac:dyDescent="0.2">
      <c r="A94" s="4">
        <v>45110</v>
      </c>
      <c r="B94" s="6" t="s">
        <v>150</v>
      </c>
      <c r="C94" s="1" t="s">
        <v>24</v>
      </c>
      <c r="D94" s="8">
        <v>0</v>
      </c>
      <c r="E94" s="8">
        <v>721494</v>
      </c>
      <c r="F94" s="8">
        <f t="shared" si="13"/>
        <v>0</v>
      </c>
      <c r="G94" s="8">
        <f t="shared" si="14"/>
        <v>721494</v>
      </c>
      <c r="H94" s="1" t="s">
        <v>25</v>
      </c>
      <c r="I94" s="4">
        <v>45124</v>
      </c>
      <c r="J94" s="1" t="s">
        <v>26</v>
      </c>
      <c r="L94" s="10" t="s">
        <v>7</v>
      </c>
      <c r="N94" s="8"/>
      <c r="O94" s="8"/>
      <c r="P94" s="8"/>
      <c r="R94" s="8"/>
    </row>
    <row r="95" spans="1:18" x14ac:dyDescent="0.2">
      <c r="A95" s="4">
        <v>45111</v>
      </c>
      <c r="B95" s="6" t="s">
        <v>151</v>
      </c>
      <c r="C95" s="1" t="s">
        <v>46</v>
      </c>
      <c r="D95" s="8">
        <v>9123073</v>
      </c>
      <c r="E95" s="8">
        <v>0</v>
      </c>
      <c r="F95" s="8">
        <f t="shared" si="13"/>
        <v>1733383.87</v>
      </c>
      <c r="G95" s="8">
        <f t="shared" si="14"/>
        <v>10856456.870000001</v>
      </c>
      <c r="H95" s="1" t="s">
        <v>47</v>
      </c>
      <c r="I95" s="4">
        <v>45152</v>
      </c>
      <c r="J95" s="1" t="s">
        <v>26</v>
      </c>
      <c r="L95" s="10" t="s">
        <v>7</v>
      </c>
    </row>
    <row r="96" spans="1:18" x14ac:dyDescent="0.2">
      <c r="A96" s="4">
        <v>45112</v>
      </c>
      <c r="B96" s="6" t="s">
        <v>152</v>
      </c>
      <c r="C96" s="1" t="s">
        <v>65</v>
      </c>
      <c r="D96" s="8">
        <v>60067</v>
      </c>
      <c r="E96" s="8">
        <v>0</v>
      </c>
      <c r="F96" s="8">
        <f t="shared" si="13"/>
        <v>11412.73</v>
      </c>
      <c r="G96" s="8">
        <f t="shared" si="14"/>
        <v>71479.73</v>
      </c>
      <c r="H96" s="1" t="s">
        <v>153</v>
      </c>
      <c r="I96" s="4">
        <v>45117</v>
      </c>
      <c r="J96" s="1" t="s">
        <v>26</v>
      </c>
      <c r="L96" s="10" t="s">
        <v>7</v>
      </c>
    </row>
    <row r="97" spans="1:18" x14ac:dyDescent="0.2">
      <c r="A97" s="20">
        <v>45112</v>
      </c>
      <c r="B97" s="21" t="s">
        <v>154</v>
      </c>
      <c r="C97" s="22" t="s">
        <v>88</v>
      </c>
      <c r="D97" s="23">
        <v>0</v>
      </c>
      <c r="E97" s="23">
        <f>55.49*800.89</f>
        <v>44441.386100000003</v>
      </c>
      <c r="F97" s="23">
        <f>186.25*800.89</f>
        <v>149165.76250000001</v>
      </c>
      <c r="G97" s="23">
        <f t="shared" si="14"/>
        <v>193607.14860000001</v>
      </c>
      <c r="H97" s="22" t="s">
        <v>153</v>
      </c>
      <c r="I97" s="4">
        <v>45117</v>
      </c>
      <c r="J97" s="1" t="s">
        <v>101</v>
      </c>
      <c r="L97" s="10" t="s">
        <v>7</v>
      </c>
    </row>
    <row r="98" spans="1:18" x14ac:dyDescent="0.2">
      <c r="A98" s="4">
        <v>45114</v>
      </c>
      <c r="B98" s="6" t="s">
        <v>155</v>
      </c>
      <c r="C98" s="1" t="s">
        <v>57</v>
      </c>
      <c r="D98" s="8">
        <v>99282</v>
      </c>
      <c r="E98" s="8">
        <v>0</v>
      </c>
      <c r="F98" s="8">
        <f>+D98*0.19</f>
        <v>18863.580000000002</v>
      </c>
      <c r="G98" s="8">
        <f t="shared" si="14"/>
        <v>118145.58</v>
      </c>
      <c r="H98" s="1" t="s">
        <v>156</v>
      </c>
      <c r="I98" s="4">
        <v>45117</v>
      </c>
      <c r="J98" s="1" t="s">
        <v>59</v>
      </c>
      <c r="L98" s="10" t="s">
        <v>7</v>
      </c>
    </row>
    <row r="99" spans="1:18" x14ac:dyDescent="0.2">
      <c r="A99" s="20">
        <v>45114</v>
      </c>
      <c r="B99" s="21" t="s">
        <v>157</v>
      </c>
      <c r="C99" s="22" t="s">
        <v>88</v>
      </c>
      <c r="D99" s="23">
        <v>0</v>
      </c>
      <c r="E99" s="23">
        <v>0</v>
      </c>
      <c r="F99" s="23">
        <f>6113.97*800.89</f>
        <v>4896617.4332999997</v>
      </c>
      <c r="G99" s="23">
        <f t="shared" si="14"/>
        <v>4896617.4332999997</v>
      </c>
      <c r="H99" s="22" t="s">
        <v>156</v>
      </c>
      <c r="I99" s="4">
        <v>45117</v>
      </c>
      <c r="J99" s="1" t="s">
        <v>59</v>
      </c>
      <c r="L99" s="10" t="s">
        <v>7</v>
      </c>
      <c r="Q99" s="4"/>
      <c r="R99" s="4"/>
    </row>
    <row r="100" spans="1:18" x14ac:dyDescent="0.2">
      <c r="A100" s="4">
        <v>45117</v>
      </c>
      <c r="B100" s="6" t="s">
        <v>158</v>
      </c>
      <c r="C100" s="1" t="s">
        <v>145</v>
      </c>
      <c r="D100" s="8">
        <v>264863</v>
      </c>
      <c r="E100" s="8">
        <v>0</v>
      </c>
      <c r="F100" s="8">
        <f t="shared" ref="F100:F108" si="15">+D100*0.19</f>
        <v>50323.97</v>
      </c>
      <c r="G100" s="8">
        <f t="shared" si="14"/>
        <v>315186.96999999997</v>
      </c>
      <c r="H100" s="1" t="s">
        <v>156</v>
      </c>
      <c r="I100" s="4">
        <v>45117</v>
      </c>
      <c r="J100" s="1" t="s">
        <v>59</v>
      </c>
      <c r="L100" s="10" t="s">
        <v>7</v>
      </c>
      <c r="Q100" s="4"/>
      <c r="R100" s="4"/>
    </row>
    <row r="101" spans="1:18" x14ac:dyDescent="0.2">
      <c r="A101" s="4">
        <v>45117</v>
      </c>
      <c r="B101" s="6" t="s">
        <v>159</v>
      </c>
      <c r="C101" s="1" t="s">
        <v>51</v>
      </c>
      <c r="D101" s="8">
        <v>88494</v>
      </c>
      <c r="E101" s="8">
        <v>0</v>
      </c>
      <c r="F101" s="8">
        <f t="shared" si="15"/>
        <v>16813.86</v>
      </c>
      <c r="G101" s="8">
        <f t="shared" si="14"/>
        <v>105307.86</v>
      </c>
      <c r="H101" s="1" t="s">
        <v>52</v>
      </c>
      <c r="I101" s="4">
        <v>45117</v>
      </c>
      <c r="J101" s="1" t="s">
        <v>129</v>
      </c>
      <c r="L101" s="10" t="s">
        <v>7</v>
      </c>
    </row>
    <row r="102" spans="1:18" x14ac:dyDescent="0.2">
      <c r="A102" s="4">
        <v>45117</v>
      </c>
      <c r="B102" s="6" t="s">
        <v>160</v>
      </c>
      <c r="C102" s="1" t="s">
        <v>145</v>
      </c>
      <c r="D102" s="8">
        <v>0</v>
      </c>
      <c r="E102" s="8">
        <v>737559</v>
      </c>
      <c r="F102" s="8">
        <f t="shared" si="15"/>
        <v>0</v>
      </c>
      <c r="G102" s="8">
        <f t="shared" si="14"/>
        <v>737559</v>
      </c>
      <c r="H102" s="1" t="s">
        <v>156</v>
      </c>
      <c r="I102" s="4">
        <v>45117</v>
      </c>
      <c r="J102" s="1" t="s">
        <v>59</v>
      </c>
      <c r="L102" s="10" t="s">
        <v>7</v>
      </c>
    </row>
    <row r="103" spans="1:18" x14ac:dyDescent="0.2">
      <c r="A103" s="4">
        <v>45120</v>
      </c>
      <c r="B103" s="6" t="s">
        <v>161</v>
      </c>
      <c r="C103" s="1" t="s">
        <v>57</v>
      </c>
      <c r="D103" s="8">
        <v>108273</v>
      </c>
      <c r="E103" s="8">
        <v>0</v>
      </c>
      <c r="F103" s="8">
        <f t="shared" si="15"/>
        <v>20571.87</v>
      </c>
      <c r="G103" s="8">
        <f t="shared" si="14"/>
        <v>128844.87</v>
      </c>
      <c r="H103" s="1" t="s">
        <v>153</v>
      </c>
      <c r="I103" s="4">
        <v>45124</v>
      </c>
      <c r="J103" s="1" t="s">
        <v>26</v>
      </c>
      <c r="L103" s="10" t="s">
        <v>7</v>
      </c>
    </row>
    <row r="104" spans="1:18" x14ac:dyDescent="0.2">
      <c r="A104" s="4">
        <v>45120</v>
      </c>
      <c r="B104" s="6" t="s">
        <v>162</v>
      </c>
      <c r="C104" s="1" t="s">
        <v>57</v>
      </c>
      <c r="D104" s="8">
        <v>216546</v>
      </c>
      <c r="E104" s="8">
        <v>0</v>
      </c>
      <c r="F104" s="8">
        <f t="shared" si="15"/>
        <v>41143.74</v>
      </c>
      <c r="G104" s="8">
        <f t="shared" si="14"/>
        <v>257689.74</v>
      </c>
      <c r="H104" s="1" t="s">
        <v>156</v>
      </c>
      <c r="I104" s="4">
        <v>45117</v>
      </c>
      <c r="J104" s="1" t="s">
        <v>59</v>
      </c>
      <c r="L104" s="10" t="s">
        <v>7</v>
      </c>
      <c r="Q104" s="4"/>
      <c r="R104" s="4"/>
    </row>
    <row r="105" spans="1:18" x14ac:dyDescent="0.2">
      <c r="A105" s="4">
        <v>45121</v>
      </c>
      <c r="B105" s="6" t="s">
        <v>163</v>
      </c>
      <c r="C105" s="1" t="s">
        <v>164</v>
      </c>
      <c r="D105" s="8">
        <v>51241</v>
      </c>
      <c r="E105" s="8">
        <v>0</v>
      </c>
      <c r="F105" s="8">
        <f t="shared" si="15"/>
        <v>9735.7900000000009</v>
      </c>
      <c r="G105" s="8">
        <f t="shared" si="14"/>
        <v>60976.79</v>
      </c>
      <c r="H105" s="1" t="s">
        <v>156</v>
      </c>
      <c r="I105" s="4">
        <v>45117</v>
      </c>
      <c r="J105" s="1" t="s">
        <v>59</v>
      </c>
      <c r="L105" s="10" t="s">
        <v>7</v>
      </c>
    </row>
    <row r="106" spans="1:18" x14ac:dyDescent="0.2">
      <c r="A106" s="4">
        <v>45123</v>
      </c>
      <c r="B106" s="6" t="s">
        <v>165</v>
      </c>
      <c r="C106" s="1" t="s">
        <v>166</v>
      </c>
      <c r="D106" s="8">
        <v>40000</v>
      </c>
      <c r="E106" s="8">
        <v>0</v>
      </c>
      <c r="F106" s="8">
        <f t="shared" si="15"/>
        <v>7600</v>
      </c>
      <c r="G106" s="8">
        <f t="shared" si="14"/>
        <v>47600</v>
      </c>
      <c r="H106" s="1" t="s">
        <v>156</v>
      </c>
      <c r="I106" s="4">
        <v>45117</v>
      </c>
      <c r="J106" s="1" t="s">
        <v>59</v>
      </c>
      <c r="L106" s="10" t="s">
        <v>7</v>
      </c>
      <c r="Q106" s="4"/>
      <c r="R106" s="4"/>
    </row>
    <row r="107" spans="1:18" x14ac:dyDescent="0.2">
      <c r="A107" s="4">
        <v>45124</v>
      </c>
      <c r="B107" s="6" t="s">
        <v>167</v>
      </c>
      <c r="C107" s="1" t="s">
        <v>57</v>
      </c>
      <c r="D107" s="8">
        <v>40672</v>
      </c>
      <c r="E107" s="8">
        <v>0</v>
      </c>
      <c r="F107" s="8">
        <f t="shared" si="15"/>
        <v>7727.68</v>
      </c>
      <c r="G107" s="8">
        <f t="shared" si="14"/>
        <v>48399.68</v>
      </c>
      <c r="H107" s="1" t="s">
        <v>168</v>
      </c>
      <c r="I107" s="4">
        <v>45132</v>
      </c>
      <c r="J107" s="1" t="s">
        <v>59</v>
      </c>
      <c r="L107" s="10" t="s">
        <v>7</v>
      </c>
    </row>
    <row r="108" spans="1:18" x14ac:dyDescent="0.2">
      <c r="A108" s="4">
        <v>45124</v>
      </c>
      <c r="B108" s="6" t="s">
        <v>169</v>
      </c>
      <c r="C108" s="1" t="s">
        <v>170</v>
      </c>
      <c r="D108" s="8">
        <v>144426</v>
      </c>
      <c r="E108" s="8">
        <v>0</v>
      </c>
      <c r="F108" s="8">
        <f t="shared" si="15"/>
        <v>27440.94</v>
      </c>
      <c r="G108" s="8">
        <f t="shared" si="14"/>
        <v>171866.94</v>
      </c>
      <c r="H108" s="1" t="s">
        <v>156</v>
      </c>
      <c r="I108" s="4">
        <v>45117</v>
      </c>
      <c r="J108" s="1" t="s">
        <v>59</v>
      </c>
      <c r="L108" s="10" t="s">
        <v>7</v>
      </c>
      <c r="Q108" s="4"/>
      <c r="R108" s="4"/>
    </row>
    <row r="109" spans="1:18" x14ac:dyDescent="0.2">
      <c r="A109" s="20">
        <v>45124</v>
      </c>
      <c r="B109" s="21" t="s">
        <v>171</v>
      </c>
      <c r="C109" s="22" t="s">
        <v>88</v>
      </c>
      <c r="D109" s="23">
        <v>0</v>
      </c>
      <c r="E109" s="23">
        <f>47.62*800.89</f>
        <v>38138.381799999996</v>
      </c>
      <c r="F109" s="23">
        <f>159.85*800.89</f>
        <v>128022.2665</v>
      </c>
      <c r="G109" s="23">
        <f t="shared" si="14"/>
        <v>166160.6483</v>
      </c>
      <c r="H109" s="22" t="s">
        <v>172</v>
      </c>
      <c r="I109" s="4">
        <v>45124</v>
      </c>
      <c r="J109" s="1" t="s">
        <v>91</v>
      </c>
      <c r="L109" s="10" t="s">
        <v>7</v>
      </c>
      <c r="Q109" s="4"/>
      <c r="R109" s="4"/>
    </row>
    <row r="110" spans="1:18" x14ac:dyDescent="0.2">
      <c r="A110" s="4">
        <v>45125</v>
      </c>
      <c r="B110" s="6" t="s">
        <v>173</v>
      </c>
      <c r="C110" s="1" t="s">
        <v>71</v>
      </c>
      <c r="D110" s="8">
        <v>55782</v>
      </c>
      <c r="E110" s="8">
        <v>0</v>
      </c>
      <c r="F110" s="8">
        <f>+D110*0.19</f>
        <v>10598.58</v>
      </c>
      <c r="G110" s="8">
        <f t="shared" si="14"/>
        <v>66380.58</v>
      </c>
      <c r="H110" s="1" t="s">
        <v>172</v>
      </c>
      <c r="I110" s="4">
        <v>45124</v>
      </c>
      <c r="J110" s="1" t="s">
        <v>26</v>
      </c>
      <c r="L110" s="10" t="s">
        <v>7</v>
      </c>
    </row>
    <row r="111" spans="1:18" x14ac:dyDescent="0.2">
      <c r="A111" s="4">
        <v>45125</v>
      </c>
      <c r="B111" s="6" t="s">
        <v>174</v>
      </c>
      <c r="C111" s="1" t="s">
        <v>133</v>
      </c>
      <c r="D111" s="8">
        <v>504202</v>
      </c>
      <c r="E111" s="8">
        <v>0</v>
      </c>
      <c r="F111" s="8">
        <f>+D111*0.19</f>
        <v>95798.38</v>
      </c>
      <c r="G111" s="8">
        <f t="shared" si="14"/>
        <v>600000.38</v>
      </c>
      <c r="H111" s="1" t="s">
        <v>134</v>
      </c>
      <c r="I111" s="4">
        <v>45125</v>
      </c>
      <c r="J111" s="1" t="s">
        <v>26</v>
      </c>
      <c r="L111" s="10" t="s">
        <v>7</v>
      </c>
    </row>
    <row r="112" spans="1:18" x14ac:dyDescent="0.2">
      <c r="A112" s="4">
        <v>45125</v>
      </c>
      <c r="B112" s="6" t="s">
        <v>175</v>
      </c>
      <c r="C112" s="1" t="s">
        <v>176</v>
      </c>
      <c r="D112" s="8">
        <v>223500</v>
      </c>
      <c r="E112" s="8">
        <v>0</v>
      </c>
      <c r="F112" s="8">
        <f>+D112*0.19</f>
        <v>42465</v>
      </c>
      <c r="G112" s="8">
        <f t="shared" si="14"/>
        <v>265965</v>
      </c>
      <c r="H112" s="1" t="s">
        <v>177</v>
      </c>
      <c r="I112" s="4">
        <v>45125</v>
      </c>
      <c r="J112" s="1" t="s">
        <v>26</v>
      </c>
      <c r="L112" s="10" t="s">
        <v>7</v>
      </c>
    </row>
    <row r="113" spans="1:18" x14ac:dyDescent="0.2">
      <c r="A113" s="20">
        <v>45125</v>
      </c>
      <c r="B113" s="21" t="s">
        <v>178</v>
      </c>
      <c r="C113" s="22" t="s">
        <v>88</v>
      </c>
      <c r="D113" s="23">
        <v>0</v>
      </c>
      <c r="E113" s="23">
        <f>533.69*800.89</f>
        <v>427426.98410000006</v>
      </c>
      <c r="F113" s="23">
        <f>1791.4*800.89</f>
        <v>1434714.3460000001</v>
      </c>
      <c r="G113" s="23">
        <f t="shared" si="14"/>
        <v>1862141.3301000001</v>
      </c>
      <c r="H113" s="22" t="s">
        <v>168</v>
      </c>
      <c r="I113" s="4">
        <v>45132</v>
      </c>
      <c r="J113" s="1" t="s">
        <v>59</v>
      </c>
      <c r="L113" s="10" t="s">
        <v>7</v>
      </c>
      <c r="Q113" s="4"/>
      <c r="R113" s="4"/>
    </row>
    <row r="114" spans="1:18" x14ac:dyDescent="0.2">
      <c r="A114" s="4">
        <v>45126</v>
      </c>
      <c r="B114" s="6" t="s">
        <v>179</v>
      </c>
      <c r="C114" s="1" t="s">
        <v>57</v>
      </c>
      <c r="D114" s="8">
        <v>108231</v>
      </c>
      <c r="E114" s="8">
        <v>0</v>
      </c>
      <c r="F114" s="8">
        <f t="shared" ref="F114:F123" si="16">+D114*0.19</f>
        <v>20563.89</v>
      </c>
      <c r="G114" s="8">
        <f t="shared" si="14"/>
        <v>128794.89</v>
      </c>
      <c r="H114" s="1" t="s">
        <v>172</v>
      </c>
      <c r="I114" s="4">
        <v>45133</v>
      </c>
      <c r="J114" s="1" t="s">
        <v>26</v>
      </c>
      <c r="L114" s="10" t="s">
        <v>7</v>
      </c>
    </row>
    <row r="115" spans="1:18" x14ac:dyDescent="0.2">
      <c r="A115" s="4">
        <v>45127</v>
      </c>
      <c r="B115" s="6" t="s">
        <v>180</v>
      </c>
      <c r="C115" s="1" t="s">
        <v>145</v>
      </c>
      <c r="D115" s="8">
        <v>268460</v>
      </c>
      <c r="E115" s="8">
        <v>0</v>
      </c>
      <c r="F115" s="8">
        <f t="shared" si="16"/>
        <v>51007.4</v>
      </c>
      <c r="G115" s="8">
        <f t="shared" si="14"/>
        <v>319467.40000000002</v>
      </c>
      <c r="H115" s="1" t="s">
        <v>168</v>
      </c>
      <c r="I115" s="4">
        <v>45132</v>
      </c>
      <c r="J115" s="1" t="s">
        <v>59</v>
      </c>
      <c r="L115" s="10" t="s">
        <v>7</v>
      </c>
    </row>
    <row r="116" spans="1:18" x14ac:dyDescent="0.2">
      <c r="A116" s="4">
        <v>45127</v>
      </c>
      <c r="B116" s="6" t="s">
        <v>181</v>
      </c>
      <c r="C116" s="1" t="s">
        <v>145</v>
      </c>
      <c r="D116" s="8">
        <v>0</v>
      </c>
      <c r="E116" s="8">
        <v>1914364</v>
      </c>
      <c r="F116" s="8">
        <f t="shared" si="16"/>
        <v>0</v>
      </c>
      <c r="G116" s="8">
        <f t="shared" si="14"/>
        <v>1914364</v>
      </c>
      <c r="H116" s="1" t="s">
        <v>168</v>
      </c>
      <c r="I116" s="4">
        <v>45132</v>
      </c>
      <c r="J116" s="1" t="s">
        <v>59</v>
      </c>
      <c r="L116" s="10" t="s">
        <v>7</v>
      </c>
    </row>
    <row r="117" spans="1:18" x14ac:dyDescent="0.2">
      <c r="A117" s="4">
        <v>45128</v>
      </c>
      <c r="B117" s="6" t="s">
        <v>182</v>
      </c>
      <c r="C117" s="1" t="s">
        <v>176</v>
      </c>
      <c r="D117" s="8">
        <v>211764</v>
      </c>
      <c r="E117" s="8">
        <v>0</v>
      </c>
      <c r="F117" s="8">
        <f t="shared" si="16"/>
        <v>40235.160000000003</v>
      </c>
      <c r="G117" s="8">
        <f t="shared" si="14"/>
        <v>251999.16</v>
      </c>
      <c r="H117" s="1" t="s">
        <v>177</v>
      </c>
      <c r="I117" s="4">
        <v>45158</v>
      </c>
      <c r="J117" s="1" t="s">
        <v>26</v>
      </c>
      <c r="L117" s="10" t="s">
        <v>7</v>
      </c>
      <c r="Q117" s="4"/>
      <c r="R117" s="4"/>
    </row>
    <row r="118" spans="1:18" x14ac:dyDescent="0.2">
      <c r="A118" s="4">
        <v>45131</v>
      </c>
      <c r="B118" s="6" t="s">
        <v>183</v>
      </c>
      <c r="C118" s="1" t="s">
        <v>184</v>
      </c>
      <c r="D118" s="8">
        <v>40000</v>
      </c>
      <c r="E118" s="8">
        <v>0</v>
      </c>
      <c r="F118" s="8">
        <f t="shared" si="16"/>
        <v>7600</v>
      </c>
      <c r="G118" s="8">
        <f t="shared" si="14"/>
        <v>47600</v>
      </c>
      <c r="H118" s="1" t="s">
        <v>185</v>
      </c>
      <c r="I118" s="4">
        <v>45132</v>
      </c>
      <c r="J118" s="1" t="s">
        <v>59</v>
      </c>
      <c r="L118" s="10" t="s">
        <v>7</v>
      </c>
    </row>
    <row r="119" spans="1:18" x14ac:dyDescent="0.2">
      <c r="A119" s="4">
        <v>45131</v>
      </c>
      <c r="B119" s="6" t="s">
        <v>186</v>
      </c>
      <c r="C119" s="1" t="s">
        <v>184</v>
      </c>
      <c r="D119" s="8">
        <v>0</v>
      </c>
      <c r="E119" s="8">
        <v>384784</v>
      </c>
      <c r="F119" s="8">
        <f t="shared" si="16"/>
        <v>0</v>
      </c>
      <c r="G119" s="8">
        <f t="shared" si="14"/>
        <v>384784</v>
      </c>
      <c r="H119" s="1" t="s">
        <v>185</v>
      </c>
      <c r="I119" s="4">
        <v>45132</v>
      </c>
      <c r="J119" s="1" t="s">
        <v>59</v>
      </c>
      <c r="L119" s="10" t="s">
        <v>7</v>
      </c>
    </row>
    <row r="120" spans="1:18" x14ac:dyDescent="0.2">
      <c r="A120" s="4">
        <v>45133</v>
      </c>
      <c r="B120" s="6" t="s">
        <v>187</v>
      </c>
      <c r="C120" s="1" t="s">
        <v>133</v>
      </c>
      <c r="D120" s="8">
        <v>840336</v>
      </c>
      <c r="E120" s="8">
        <v>0</v>
      </c>
      <c r="F120" s="8">
        <f t="shared" si="16"/>
        <v>159663.84</v>
      </c>
      <c r="G120" s="8">
        <f t="shared" si="14"/>
        <v>999999.84</v>
      </c>
      <c r="H120" s="1" t="s">
        <v>134</v>
      </c>
      <c r="I120" s="4">
        <v>45133</v>
      </c>
      <c r="J120" s="1" t="s">
        <v>26</v>
      </c>
      <c r="L120" s="10" t="s">
        <v>7</v>
      </c>
    </row>
    <row r="121" spans="1:18" x14ac:dyDescent="0.2">
      <c r="A121" s="4">
        <v>45133</v>
      </c>
      <c r="B121" s="6" t="s">
        <v>188</v>
      </c>
      <c r="C121" s="1" t="s">
        <v>166</v>
      </c>
      <c r="D121" s="8">
        <v>35000</v>
      </c>
      <c r="E121" s="8">
        <v>0</v>
      </c>
      <c r="F121" s="8">
        <f t="shared" si="16"/>
        <v>6650</v>
      </c>
      <c r="G121" s="8">
        <f t="shared" si="14"/>
        <v>41650</v>
      </c>
      <c r="H121" s="1" t="s">
        <v>168</v>
      </c>
      <c r="I121" s="4">
        <v>45132</v>
      </c>
      <c r="J121" s="1" t="s">
        <v>59</v>
      </c>
      <c r="L121" s="10" t="s">
        <v>7</v>
      </c>
    </row>
    <row r="122" spans="1:18" x14ac:dyDescent="0.2">
      <c r="A122" s="4">
        <v>45134</v>
      </c>
      <c r="B122" s="6" t="s">
        <v>189</v>
      </c>
      <c r="C122" s="1" t="s">
        <v>77</v>
      </c>
      <c r="D122" s="8">
        <v>79441</v>
      </c>
      <c r="E122" s="8">
        <v>0</v>
      </c>
      <c r="F122" s="8">
        <f t="shared" si="16"/>
        <v>15093.79</v>
      </c>
      <c r="G122" s="8">
        <f t="shared" si="14"/>
        <v>94534.790000000008</v>
      </c>
      <c r="H122" s="1" t="s">
        <v>185</v>
      </c>
      <c r="I122" s="4">
        <v>45132</v>
      </c>
      <c r="J122" s="1" t="s">
        <v>59</v>
      </c>
      <c r="L122" s="10" t="s">
        <v>7</v>
      </c>
    </row>
    <row r="123" spans="1:18" x14ac:dyDescent="0.2">
      <c r="A123" s="4">
        <v>45134</v>
      </c>
      <c r="B123" s="6" t="s">
        <v>190</v>
      </c>
      <c r="C123" s="1" t="s">
        <v>166</v>
      </c>
      <c r="D123" s="8">
        <v>40000</v>
      </c>
      <c r="E123" s="8">
        <v>0</v>
      </c>
      <c r="F123" s="8">
        <f t="shared" si="16"/>
        <v>7600</v>
      </c>
      <c r="G123" s="8">
        <f t="shared" si="14"/>
        <v>47600</v>
      </c>
      <c r="H123" s="1" t="s">
        <v>185</v>
      </c>
      <c r="I123" s="4">
        <v>45132</v>
      </c>
      <c r="J123" s="1" t="s">
        <v>59</v>
      </c>
      <c r="L123" s="10" t="s">
        <v>7</v>
      </c>
    </row>
    <row r="124" spans="1:18" x14ac:dyDescent="0.2">
      <c r="A124" s="20">
        <v>45128</v>
      </c>
      <c r="B124" s="21" t="s">
        <v>191</v>
      </c>
      <c r="C124" s="22" t="s">
        <v>88</v>
      </c>
      <c r="D124" s="23">
        <v>0</v>
      </c>
      <c r="E124" s="23">
        <f>168.25*800.89</f>
        <v>134749.74249999999</v>
      </c>
      <c r="F124" s="23">
        <f>564.77*800.89</f>
        <v>452318.64529999997</v>
      </c>
      <c r="G124" s="23">
        <f t="shared" si="14"/>
        <v>587068.38779999991</v>
      </c>
      <c r="H124" s="22" t="s">
        <v>185</v>
      </c>
      <c r="I124" s="4">
        <v>45132</v>
      </c>
      <c r="J124" s="1" t="s">
        <v>59</v>
      </c>
      <c r="L124" s="10" t="s">
        <v>7</v>
      </c>
      <c r="Q124" s="4"/>
      <c r="R124" s="4"/>
    </row>
    <row r="125" spans="1:18" x14ac:dyDescent="0.2">
      <c r="A125" s="20">
        <v>45128</v>
      </c>
      <c r="B125" s="21" t="s">
        <v>192</v>
      </c>
      <c r="C125" s="22" t="s">
        <v>88</v>
      </c>
      <c r="D125" s="23">
        <v>0</v>
      </c>
      <c r="E125" s="23">
        <v>0</v>
      </c>
      <c r="F125" s="23">
        <f>956.54*800.89</f>
        <v>766083.32059999998</v>
      </c>
      <c r="G125" s="23">
        <f t="shared" si="14"/>
        <v>766083.32059999998</v>
      </c>
      <c r="H125" s="22" t="s">
        <v>185</v>
      </c>
      <c r="I125" s="4">
        <v>45132</v>
      </c>
      <c r="J125" s="1" t="s">
        <v>59</v>
      </c>
      <c r="L125" s="10" t="s">
        <v>7</v>
      </c>
      <c r="Q125" s="4"/>
      <c r="R125" s="4"/>
    </row>
    <row r="126" spans="1:18" x14ac:dyDescent="0.2">
      <c r="A126" s="4">
        <v>45138</v>
      </c>
      <c r="B126" s="6" t="s">
        <v>193</v>
      </c>
      <c r="C126" s="1" t="s">
        <v>170</v>
      </c>
      <c r="D126" s="8">
        <v>127907</v>
      </c>
      <c r="E126" s="8">
        <v>0</v>
      </c>
      <c r="F126" s="8">
        <f>+D126*0.19</f>
        <v>24302.33</v>
      </c>
      <c r="G126" s="8">
        <f t="shared" si="14"/>
        <v>152209.33000000002</v>
      </c>
      <c r="H126" s="1" t="s">
        <v>168</v>
      </c>
      <c r="I126" s="4">
        <v>45132</v>
      </c>
      <c r="J126" s="1" t="s">
        <v>59</v>
      </c>
      <c r="L126" s="10" t="s">
        <v>7</v>
      </c>
    </row>
    <row r="127" spans="1:18" x14ac:dyDescent="0.2">
      <c r="A127" s="4">
        <v>45138</v>
      </c>
      <c r="B127" s="6" t="s">
        <v>194</v>
      </c>
      <c r="C127" s="1" t="s">
        <v>170</v>
      </c>
      <c r="D127" s="8">
        <v>127907</v>
      </c>
      <c r="E127" s="8">
        <v>0</v>
      </c>
      <c r="F127" s="8">
        <f>+D127*0.19</f>
        <v>24302.33</v>
      </c>
      <c r="G127" s="8">
        <f t="shared" si="14"/>
        <v>152209.33000000002</v>
      </c>
      <c r="H127" s="1" t="s">
        <v>185</v>
      </c>
      <c r="I127" s="4">
        <v>45132</v>
      </c>
      <c r="J127" s="1" t="s">
        <v>59</v>
      </c>
      <c r="L127" s="10" t="s">
        <v>7</v>
      </c>
    </row>
    <row r="128" spans="1:18" x14ac:dyDescent="0.2">
      <c r="A128" s="4">
        <v>45138</v>
      </c>
      <c r="B128" s="6" t="s">
        <v>195</v>
      </c>
      <c r="C128" s="1" t="s">
        <v>170</v>
      </c>
      <c r="D128" s="11">
        <v>21818</v>
      </c>
      <c r="E128" s="11">
        <v>0</v>
      </c>
      <c r="F128" s="11">
        <f>+D128*0.19</f>
        <v>4145.42</v>
      </c>
      <c r="G128" s="11">
        <f t="shared" si="14"/>
        <v>25963.42</v>
      </c>
      <c r="H128" s="1" t="s">
        <v>185</v>
      </c>
      <c r="I128" s="4">
        <v>45132</v>
      </c>
      <c r="J128" s="1" t="s">
        <v>59</v>
      </c>
      <c r="L128" s="10" t="s">
        <v>7</v>
      </c>
    </row>
    <row r="129" spans="1:12" x14ac:dyDescent="0.2">
      <c r="D129" s="8">
        <f>SUM(D87:D128)</f>
        <v>13814510</v>
      </c>
      <c r="E129" s="8">
        <f>SUM(E87:E128)</f>
        <v>7834261.4944999991</v>
      </c>
      <c r="F129" s="8">
        <f>SUM(F87:F128)</f>
        <v>10451678.6742</v>
      </c>
      <c r="G129" s="8">
        <f>SUM(G87:G128)</f>
        <v>32100450.168699991</v>
      </c>
    </row>
    <row r="131" spans="1:12" x14ac:dyDescent="0.2">
      <c r="A131" s="4">
        <v>45131</v>
      </c>
      <c r="B131" s="6" t="s">
        <v>196</v>
      </c>
      <c r="C131" s="1" t="s">
        <v>57</v>
      </c>
      <c r="D131" s="8">
        <v>216392</v>
      </c>
      <c r="E131" s="8">
        <v>0</v>
      </c>
      <c r="F131" s="8">
        <f t="shared" ref="F131:F139" si="17">+D131*0.19</f>
        <v>41114.480000000003</v>
      </c>
      <c r="G131" s="8">
        <f t="shared" ref="G131:G159" si="18">SUM(D131:F131)</f>
        <v>257506.48</v>
      </c>
      <c r="H131" s="1" t="s">
        <v>185</v>
      </c>
      <c r="I131" s="4">
        <v>45132</v>
      </c>
      <c r="J131" s="1" t="s">
        <v>59</v>
      </c>
      <c r="L131" s="10" t="s">
        <v>8</v>
      </c>
    </row>
    <row r="132" spans="1:12" x14ac:dyDescent="0.2">
      <c r="A132" s="4">
        <v>45131</v>
      </c>
      <c r="B132" s="6" t="s">
        <v>197</v>
      </c>
      <c r="C132" s="1" t="s">
        <v>57</v>
      </c>
      <c r="D132" s="8">
        <v>216392</v>
      </c>
      <c r="E132" s="8">
        <v>0</v>
      </c>
      <c r="F132" s="8">
        <f t="shared" si="17"/>
        <v>41114.480000000003</v>
      </c>
      <c r="G132" s="8">
        <f t="shared" si="18"/>
        <v>257506.48</v>
      </c>
      <c r="H132" s="1" t="s">
        <v>168</v>
      </c>
      <c r="I132" s="4">
        <v>45132</v>
      </c>
      <c r="J132" s="1" t="s">
        <v>59</v>
      </c>
      <c r="L132" s="10" t="s">
        <v>8</v>
      </c>
    </row>
    <row r="133" spans="1:12" x14ac:dyDescent="0.2">
      <c r="A133" s="4">
        <v>45131</v>
      </c>
      <c r="B133" s="6" t="s">
        <v>198</v>
      </c>
      <c r="C133" s="1" t="s">
        <v>57</v>
      </c>
      <c r="D133" s="8">
        <v>41098</v>
      </c>
      <c r="E133" s="8">
        <v>0</v>
      </c>
      <c r="F133" s="8">
        <f t="shared" si="17"/>
        <v>7808.62</v>
      </c>
      <c r="G133" s="8">
        <f t="shared" si="18"/>
        <v>48906.62</v>
      </c>
      <c r="H133" s="1" t="s">
        <v>185</v>
      </c>
      <c r="I133" s="4">
        <v>45132</v>
      </c>
      <c r="J133" s="1" t="s">
        <v>59</v>
      </c>
      <c r="L133" s="10" t="s">
        <v>8</v>
      </c>
    </row>
    <row r="134" spans="1:12" x14ac:dyDescent="0.2">
      <c r="A134" s="4">
        <v>45133</v>
      </c>
      <c r="B134" s="6" t="s">
        <v>199</v>
      </c>
      <c r="C134" s="1" t="s">
        <v>57</v>
      </c>
      <c r="D134" s="8">
        <v>41445</v>
      </c>
      <c r="E134" s="8">
        <v>0</v>
      </c>
      <c r="F134" s="8">
        <f t="shared" si="17"/>
        <v>7874.55</v>
      </c>
      <c r="G134" s="8">
        <f t="shared" si="18"/>
        <v>49319.55</v>
      </c>
      <c r="H134" s="1" t="s">
        <v>185</v>
      </c>
      <c r="I134" s="4">
        <v>45132</v>
      </c>
      <c r="J134" s="1" t="s">
        <v>59</v>
      </c>
      <c r="L134" s="10" t="s">
        <v>8</v>
      </c>
    </row>
    <row r="135" spans="1:12" x14ac:dyDescent="0.2">
      <c r="A135" s="4">
        <v>45133</v>
      </c>
      <c r="B135" s="6" t="s">
        <v>200</v>
      </c>
      <c r="C135" s="1" t="s">
        <v>148</v>
      </c>
      <c r="D135" s="8">
        <v>59029</v>
      </c>
      <c r="E135" s="8">
        <v>0</v>
      </c>
      <c r="F135" s="8">
        <f t="shared" si="17"/>
        <v>11215.51</v>
      </c>
      <c r="G135" s="8">
        <f t="shared" si="18"/>
        <v>70244.509999999995</v>
      </c>
      <c r="H135" s="1" t="s">
        <v>168</v>
      </c>
      <c r="I135" s="4">
        <v>45132</v>
      </c>
      <c r="J135" s="1" t="s">
        <v>59</v>
      </c>
      <c r="L135" s="10" t="s">
        <v>8</v>
      </c>
    </row>
    <row r="136" spans="1:12" x14ac:dyDescent="0.2">
      <c r="A136" s="4">
        <v>45139</v>
      </c>
      <c r="B136" s="6" t="s">
        <v>201</v>
      </c>
      <c r="C136" s="1" t="s">
        <v>24</v>
      </c>
      <c r="D136" s="8">
        <v>0</v>
      </c>
      <c r="E136" s="8">
        <v>756621</v>
      </c>
      <c r="F136" s="8">
        <f t="shared" si="17"/>
        <v>0</v>
      </c>
      <c r="G136" s="8">
        <f t="shared" si="18"/>
        <v>756621</v>
      </c>
      <c r="H136" s="1" t="s">
        <v>25</v>
      </c>
      <c r="I136" s="4">
        <v>45146</v>
      </c>
      <c r="J136" s="1" t="s">
        <v>26</v>
      </c>
      <c r="L136" s="10" t="s">
        <v>8</v>
      </c>
    </row>
    <row r="137" spans="1:12" x14ac:dyDescent="0.2">
      <c r="A137" s="4">
        <v>45140</v>
      </c>
      <c r="B137" s="6" t="s">
        <v>202</v>
      </c>
      <c r="C137" s="1" t="s">
        <v>145</v>
      </c>
      <c r="D137" s="8">
        <v>273309</v>
      </c>
      <c r="E137" s="8">
        <v>0</v>
      </c>
      <c r="F137" s="8">
        <f t="shared" si="17"/>
        <v>51928.71</v>
      </c>
      <c r="G137" s="8">
        <f t="shared" si="18"/>
        <v>325237.71000000002</v>
      </c>
      <c r="H137" s="1" t="s">
        <v>203</v>
      </c>
      <c r="I137" s="4">
        <v>45141</v>
      </c>
      <c r="J137" s="1" t="s">
        <v>59</v>
      </c>
      <c r="L137" s="10" t="s">
        <v>8</v>
      </c>
    </row>
    <row r="138" spans="1:12" x14ac:dyDescent="0.2">
      <c r="A138" s="4">
        <v>45140</v>
      </c>
      <c r="B138" s="6" t="s">
        <v>204</v>
      </c>
      <c r="C138" s="1" t="s">
        <v>51</v>
      </c>
      <c r="D138" s="8">
        <v>92732</v>
      </c>
      <c r="E138" s="8">
        <v>0</v>
      </c>
      <c r="F138" s="8">
        <f t="shared" si="17"/>
        <v>17619.080000000002</v>
      </c>
      <c r="G138" s="8">
        <f t="shared" si="18"/>
        <v>110351.08</v>
      </c>
      <c r="H138" s="1" t="s">
        <v>52</v>
      </c>
      <c r="I138" s="4">
        <v>45140</v>
      </c>
      <c r="J138" s="1" t="s">
        <v>129</v>
      </c>
      <c r="L138" s="10" t="s">
        <v>8</v>
      </c>
    </row>
    <row r="139" spans="1:12" x14ac:dyDescent="0.2">
      <c r="A139" s="4">
        <v>45140</v>
      </c>
      <c r="B139" s="6" t="s">
        <v>205</v>
      </c>
      <c r="C139" s="1" t="s">
        <v>145</v>
      </c>
      <c r="D139" s="8">
        <v>0</v>
      </c>
      <c r="E139" s="8">
        <v>1829383</v>
      </c>
      <c r="F139" s="8">
        <f t="shared" si="17"/>
        <v>0</v>
      </c>
      <c r="G139" s="8">
        <f t="shared" si="18"/>
        <v>1829383</v>
      </c>
      <c r="H139" s="1" t="s">
        <v>203</v>
      </c>
      <c r="I139" s="4">
        <v>45141</v>
      </c>
      <c r="J139" s="1" t="s">
        <v>59</v>
      </c>
      <c r="L139" s="10" t="s">
        <v>8</v>
      </c>
    </row>
    <row r="140" spans="1:12" x14ac:dyDescent="0.2">
      <c r="A140" s="20">
        <v>45146</v>
      </c>
      <c r="B140" s="21" t="s">
        <v>206</v>
      </c>
      <c r="C140" s="22" t="s">
        <v>88</v>
      </c>
      <c r="D140" s="23">
        <v>0</v>
      </c>
      <c r="E140" s="23">
        <v>0</v>
      </c>
      <c r="F140" s="23">
        <f>16895.14*826.01</f>
        <v>13955554.591399999</v>
      </c>
      <c r="G140" s="23">
        <f t="shared" si="18"/>
        <v>13955554.591399999</v>
      </c>
      <c r="H140" s="22" t="s">
        <v>203</v>
      </c>
      <c r="I140" s="4">
        <v>45141</v>
      </c>
      <c r="J140" s="1" t="s">
        <v>59</v>
      </c>
      <c r="L140" s="10" t="s">
        <v>8</v>
      </c>
    </row>
    <row r="141" spans="1:12" x14ac:dyDescent="0.2">
      <c r="A141" s="20">
        <v>45146</v>
      </c>
      <c r="B141" s="21" t="s">
        <v>207</v>
      </c>
      <c r="C141" s="22" t="s">
        <v>88</v>
      </c>
      <c r="D141" s="23">
        <v>0</v>
      </c>
      <c r="E141" s="23">
        <f>74.65*826.01</f>
        <v>61661.646500000003</v>
      </c>
      <c r="F141" s="23">
        <f>250.58*826.01</f>
        <v>206981.5858</v>
      </c>
      <c r="G141" s="23">
        <f t="shared" si="18"/>
        <v>268643.23230000003</v>
      </c>
      <c r="H141" s="22" t="s">
        <v>203</v>
      </c>
      <c r="I141" s="4">
        <v>45141</v>
      </c>
      <c r="J141" s="1" t="s">
        <v>59</v>
      </c>
      <c r="L141" s="10" t="s">
        <v>8</v>
      </c>
    </row>
    <row r="142" spans="1:12" x14ac:dyDescent="0.2">
      <c r="A142" s="4">
        <v>45146</v>
      </c>
      <c r="B142" s="6" t="s">
        <v>208</v>
      </c>
      <c r="C142" s="1" t="s">
        <v>77</v>
      </c>
      <c r="D142" s="8">
        <v>306515</v>
      </c>
      <c r="E142" s="8">
        <v>0</v>
      </c>
      <c r="F142" s="8">
        <f>+D142*0.19</f>
        <v>58237.85</v>
      </c>
      <c r="G142" s="8">
        <f t="shared" si="18"/>
        <v>364752.85</v>
      </c>
      <c r="H142" s="1" t="s">
        <v>203</v>
      </c>
      <c r="I142" s="4">
        <v>45141</v>
      </c>
      <c r="J142" s="1" t="s">
        <v>59</v>
      </c>
      <c r="L142" s="10" t="s">
        <v>8</v>
      </c>
    </row>
    <row r="143" spans="1:12" x14ac:dyDescent="0.2">
      <c r="A143" s="4">
        <v>45146</v>
      </c>
      <c r="B143" s="6" t="s">
        <v>209</v>
      </c>
      <c r="C143" s="1" t="s">
        <v>166</v>
      </c>
      <c r="D143" s="8">
        <v>43000</v>
      </c>
      <c r="E143" s="8">
        <v>0</v>
      </c>
      <c r="F143" s="8">
        <f>+D143*0.19</f>
        <v>8170</v>
      </c>
      <c r="G143" s="8">
        <f t="shared" si="18"/>
        <v>51170</v>
      </c>
      <c r="H143" s="1" t="s">
        <v>203</v>
      </c>
      <c r="I143" s="4">
        <v>45141</v>
      </c>
      <c r="J143" s="1" t="s">
        <v>59</v>
      </c>
      <c r="L143" s="10" t="s">
        <v>8</v>
      </c>
    </row>
    <row r="144" spans="1:12" x14ac:dyDescent="0.2">
      <c r="A144" s="20">
        <v>45146</v>
      </c>
      <c r="B144" s="21" t="s">
        <v>210</v>
      </c>
      <c r="C144" s="22" t="s">
        <v>88</v>
      </c>
      <c r="D144" s="23">
        <v>0</v>
      </c>
      <c r="E144" s="23">
        <f>128.88*826.01</f>
        <v>106456.1688</v>
      </c>
      <c r="F144" s="23">
        <f>432.61*826.01</f>
        <v>357340.18609999999</v>
      </c>
      <c r="G144" s="23">
        <f t="shared" si="18"/>
        <v>463796.35489999998</v>
      </c>
      <c r="H144" s="22" t="s">
        <v>211</v>
      </c>
      <c r="I144" s="4">
        <v>45146</v>
      </c>
      <c r="J144" s="1" t="s">
        <v>91</v>
      </c>
      <c r="L144" s="10" t="s">
        <v>8</v>
      </c>
    </row>
    <row r="145" spans="1:12" x14ac:dyDescent="0.2">
      <c r="A145" s="4">
        <v>45147</v>
      </c>
      <c r="B145" s="6" t="s">
        <v>212</v>
      </c>
      <c r="C145" s="1" t="s">
        <v>71</v>
      </c>
      <c r="D145" s="8">
        <v>119069</v>
      </c>
      <c r="E145" s="8">
        <v>0</v>
      </c>
      <c r="F145" s="8">
        <f t="shared" ref="F145:F151" si="19">+D145*0.19</f>
        <v>22623.11</v>
      </c>
      <c r="G145" s="8">
        <f t="shared" si="18"/>
        <v>141692.10999999999</v>
      </c>
      <c r="H145" s="1" t="s">
        <v>211</v>
      </c>
      <c r="I145" s="4">
        <v>45146</v>
      </c>
      <c r="J145" s="1" t="s">
        <v>91</v>
      </c>
      <c r="L145" s="10" t="s">
        <v>8</v>
      </c>
    </row>
    <row r="146" spans="1:12" x14ac:dyDescent="0.2">
      <c r="A146" s="4">
        <v>45152</v>
      </c>
      <c r="B146" s="6" t="s">
        <v>213</v>
      </c>
      <c r="C146" s="1" t="s">
        <v>170</v>
      </c>
      <c r="D146" s="8">
        <v>288876</v>
      </c>
      <c r="E146" s="8">
        <v>0</v>
      </c>
      <c r="F146" s="8">
        <f t="shared" si="19"/>
        <v>54886.44</v>
      </c>
      <c r="G146" s="8">
        <f t="shared" si="18"/>
        <v>343762.44</v>
      </c>
      <c r="H146" s="1" t="s">
        <v>203</v>
      </c>
      <c r="I146" s="4">
        <v>45141</v>
      </c>
      <c r="J146" s="1" t="s">
        <v>59</v>
      </c>
      <c r="L146" s="10" t="s">
        <v>8</v>
      </c>
    </row>
    <row r="147" spans="1:12" x14ac:dyDescent="0.2">
      <c r="A147" s="4">
        <v>45152</v>
      </c>
      <c r="B147" s="6" t="s">
        <v>214</v>
      </c>
      <c r="C147" s="1" t="s">
        <v>170</v>
      </c>
      <c r="D147" s="8">
        <v>22320</v>
      </c>
      <c r="E147" s="8">
        <v>0</v>
      </c>
      <c r="F147" s="8">
        <f t="shared" si="19"/>
        <v>4240.8</v>
      </c>
      <c r="G147" s="8">
        <f t="shared" si="18"/>
        <v>26560.799999999999</v>
      </c>
      <c r="H147" s="1" t="s">
        <v>203</v>
      </c>
      <c r="I147" s="4">
        <v>45141</v>
      </c>
      <c r="J147" s="1" t="s">
        <v>59</v>
      </c>
      <c r="L147" s="10" t="s">
        <v>8</v>
      </c>
    </row>
    <row r="148" spans="1:12" x14ac:dyDescent="0.2">
      <c r="A148" s="4">
        <v>45154</v>
      </c>
      <c r="B148" s="6" t="s">
        <v>215</v>
      </c>
      <c r="C148" s="1" t="s">
        <v>145</v>
      </c>
      <c r="D148" s="8">
        <v>282957</v>
      </c>
      <c r="E148" s="8">
        <v>0</v>
      </c>
      <c r="F148" s="8">
        <f t="shared" si="19"/>
        <v>53761.83</v>
      </c>
      <c r="G148" s="8">
        <f t="shared" si="18"/>
        <v>336718.83</v>
      </c>
      <c r="H148" s="1" t="s">
        <v>216</v>
      </c>
      <c r="I148" s="4">
        <v>45156</v>
      </c>
      <c r="J148" s="1" t="s">
        <v>59</v>
      </c>
      <c r="L148" s="10" t="s">
        <v>8</v>
      </c>
    </row>
    <row r="149" spans="1:12" x14ac:dyDescent="0.2">
      <c r="A149" s="4">
        <v>45154</v>
      </c>
      <c r="B149" s="6" t="s">
        <v>217</v>
      </c>
      <c r="C149" s="1" t="s">
        <v>218</v>
      </c>
      <c r="D149" s="8">
        <v>231278</v>
      </c>
      <c r="E149" s="8">
        <v>0</v>
      </c>
      <c r="F149" s="8">
        <f t="shared" si="19"/>
        <v>43942.82</v>
      </c>
      <c r="G149" s="8">
        <f t="shared" si="18"/>
        <v>275220.82</v>
      </c>
      <c r="H149" s="1" t="s">
        <v>47</v>
      </c>
      <c r="I149" s="4">
        <v>45154</v>
      </c>
      <c r="J149" s="1" t="s">
        <v>26</v>
      </c>
      <c r="L149" s="10" t="s">
        <v>8</v>
      </c>
    </row>
    <row r="150" spans="1:12" x14ac:dyDescent="0.2">
      <c r="A150" s="4">
        <v>45154</v>
      </c>
      <c r="B150" s="6" t="s">
        <v>219</v>
      </c>
      <c r="C150" s="1" t="s">
        <v>145</v>
      </c>
      <c r="D150" s="8">
        <v>0</v>
      </c>
      <c r="E150" s="8">
        <v>637622</v>
      </c>
      <c r="F150" s="8">
        <f t="shared" si="19"/>
        <v>0</v>
      </c>
      <c r="G150" s="8">
        <f t="shared" si="18"/>
        <v>637622</v>
      </c>
      <c r="H150" s="1" t="s">
        <v>216</v>
      </c>
      <c r="I150" s="4">
        <v>45156</v>
      </c>
      <c r="J150" s="1" t="s">
        <v>59</v>
      </c>
      <c r="L150" s="10" t="s">
        <v>8</v>
      </c>
    </row>
    <row r="151" spans="1:12" x14ac:dyDescent="0.2">
      <c r="A151" s="4">
        <v>45155</v>
      </c>
      <c r="B151" s="6" t="s">
        <v>220</v>
      </c>
      <c r="C151" s="1" t="s">
        <v>57</v>
      </c>
      <c r="D151" s="8">
        <v>108196</v>
      </c>
      <c r="E151" s="8">
        <v>0</v>
      </c>
      <c r="F151" s="8">
        <f t="shared" si="19"/>
        <v>20557.240000000002</v>
      </c>
      <c r="G151" s="8">
        <f t="shared" si="18"/>
        <v>128753.24</v>
      </c>
      <c r="H151" s="1" t="s">
        <v>211</v>
      </c>
      <c r="I151" s="4">
        <v>45167</v>
      </c>
      <c r="J151" s="1" t="s">
        <v>26</v>
      </c>
      <c r="L151" s="10" t="s">
        <v>8</v>
      </c>
    </row>
    <row r="152" spans="1:12" x14ac:dyDescent="0.2">
      <c r="A152" s="20">
        <v>45156</v>
      </c>
      <c r="B152" s="21" t="s">
        <v>221</v>
      </c>
      <c r="C152" s="22" t="s">
        <v>88</v>
      </c>
      <c r="D152" s="23">
        <v>0</v>
      </c>
      <c r="E152" s="23">
        <v>0</v>
      </c>
      <c r="F152" s="23">
        <f>3576.08*826.01</f>
        <v>2953877.8407999999</v>
      </c>
      <c r="G152" s="23">
        <f t="shared" si="18"/>
        <v>2953877.8407999999</v>
      </c>
      <c r="H152" s="22" t="s">
        <v>216</v>
      </c>
      <c r="I152" s="4">
        <v>45156</v>
      </c>
      <c r="J152" s="1" t="s">
        <v>59</v>
      </c>
      <c r="L152" s="10" t="s">
        <v>8</v>
      </c>
    </row>
    <row r="153" spans="1:12" x14ac:dyDescent="0.2">
      <c r="A153" s="20">
        <v>45156</v>
      </c>
      <c r="B153" s="21" t="s">
        <v>222</v>
      </c>
      <c r="C153" s="22" t="s">
        <v>88</v>
      </c>
      <c r="D153" s="23">
        <v>0</v>
      </c>
      <c r="E153" s="23">
        <f>1302.75*826.01</f>
        <v>1076084.5275000001</v>
      </c>
      <c r="F153" s="23">
        <f>4372.88*826.01</f>
        <v>3612042.6088</v>
      </c>
      <c r="G153" s="23">
        <f t="shared" si="18"/>
        <v>4688127.1363000004</v>
      </c>
      <c r="H153" s="22" t="s">
        <v>216</v>
      </c>
      <c r="I153" s="4">
        <v>45156</v>
      </c>
      <c r="J153" s="1" t="s">
        <v>59</v>
      </c>
      <c r="L153" s="10" t="s">
        <v>8</v>
      </c>
    </row>
    <row r="154" spans="1:12" x14ac:dyDescent="0.2">
      <c r="A154" s="4">
        <v>45159</v>
      </c>
      <c r="B154" s="6" t="s">
        <v>223</v>
      </c>
      <c r="C154" s="1" t="s">
        <v>148</v>
      </c>
      <c r="D154" s="8">
        <v>139283</v>
      </c>
      <c r="E154" s="8">
        <v>0</v>
      </c>
      <c r="F154" s="8">
        <f t="shared" ref="F154:F159" si="20">+D154*0.19</f>
        <v>26463.77</v>
      </c>
      <c r="G154" s="8">
        <f t="shared" si="18"/>
        <v>165746.76999999999</v>
      </c>
      <c r="H154" s="1" t="s">
        <v>216</v>
      </c>
      <c r="I154" s="4">
        <v>45156</v>
      </c>
      <c r="J154" s="1" t="s">
        <v>59</v>
      </c>
      <c r="L154" s="10" t="s">
        <v>8</v>
      </c>
    </row>
    <row r="155" spans="1:12" x14ac:dyDescent="0.2">
      <c r="A155" s="4">
        <v>45159</v>
      </c>
      <c r="B155" s="6" t="s">
        <v>224</v>
      </c>
      <c r="C155" s="1" t="s">
        <v>166</v>
      </c>
      <c r="D155" s="8">
        <v>35000</v>
      </c>
      <c r="E155" s="8">
        <v>0</v>
      </c>
      <c r="F155" s="8">
        <f t="shared" si="20"/>
        <v>6650</v>
      </c>
      <c r="G155" s="8">
        <f t="shared" si="18"/>
        <v>41650</v>
      </c>
      <c r="H155" s="1" t="s">
        <v>216</v>
      </c>
      <c r="I155" s="4">
        <v>45156</v>
      </c>
      <c r="J155" s="1" t="s">
        <v>59</v>
      </c>
      <c r="L155" s="10" t="s">
        <v>8</v>
      </c>
    </row>
    <row r="156" spans="1:12" x14ac:dyDescent="0.2">
      <c r="A156" s="4">
        <v>45161</v>
      </c>
      <c r="B156" s="6" t="s">
        <v>225</v>
      </c>
      <c r="C156" s="1" t="s">
        <v>133</v>
      </c>
      <c r="D156" s="8">
        <v>210084</v>
      </c>
      <c r="E156" s="8">
        <v>0</v>
      </c>
      <c r="F156" s="8">
        <f t="shared" si="20"/>
        <v>39915.96</v>
      </c>
      <c r="G156" s="8">
        <f t="shared" si="18"/>
        <v>249999.96</v>
      </c>
      <c r="H156" s="1" t="s">
        <v>134</v>
      </c>
      <c r="I156" s="4">
        <v>45156</v>
      </c>
      <c r="J156" s="1" t="s">
        <v>26</v>
      </c>
      <c r="L156" s="10" t="s">
        <v>8</v>
      </c>
    </row>
    <row r="157" spans="1:12" x14ac:dyDescent="0.2">
      <c r="A157" s="4">
        <v>45166</v>
      </c>
      <c r="B157" s="6" t="s">
        <v>226</v>
      </c>
      <c r="C157" s="1" t="s">
        <v>170</v>
      </c>
      <c r="D157" s="8">
        <v>130921</v>
      </c>
      <c r="E157" s="8">
        <v>0</v>
      </c>
      <c r="F157" s="8">
        <f t="shared" si="20"/>
        <v>24874.99</v>
      </c>
      <c r="G157" s="8">
        <f t="shared" si="18"/>
        <v>155795.99</v>
      </c>
      <c r="H157" s="1" t="s">
        <v>216</v>
      </c>
      <c r="I157" s="4">
        <v>45156</v>
      </c>
      <c r="J157" s="1" t="s">
        <v>59</v>
      </c>
      <c r="L157" s="10" t="s">
        <v>8</v>
      </c>
    </row>
    <row r="158" spans="1:12" x14ac:dyDescent="0.2">
      <c r="A158" s="4">
        <v>45166</v>
      </c>
      <c r="B158" s="6" t="s">
        <v>227</v>
      </c>
      <c r="C158" s="1" t="s">
        <v>170</v>
      </c>
      <c r="D158" s="8">
        <v>22320</v>
      </c>
      <c r="E158" s="8">
        <v>0</v>
      </c>
      <c r="F158" s="8">
        <f t="shared" si="20"/>
        <v>4240.8</v>
      </c>
      <c r="G158" s="8">
        <f t="shared" si="18"/>
        <v>26560.799999999999</v>
      </c>
      <c r="H158" s="1" t="s">
        <v>216</v>
      </c>
      <c r="I158" s="4">
        <v>45156</v>
      </c>
      <c r="J158" s="1" t="s">
        <v>59</v>
      </c>
      <c r="L158" s="10" t="s">
        <v>8</v>
      </c>
    </row>
    <row r="159" spans="1:12" x14ac:dyDescent="0.2">
      <c r="A159" s="4">
        <v>45168</v>
      </c>
      <c r="B159" s="6" t="s">
        <v>228</v>
      </c>
      <c r="C159" s="1" t="s">
        <v>133</v>
      </c>
      <c r="D159" s="11">
        <v>462185</v>
      </c>
      <c r="E159" s="11">
        <v>0</v>
      </c>
      <c r="F159" s="11">
        <f t="shared" si="20"/>
        <v>87815.15</v>
      </c>
      <c r="G159" s="11">
        <f t="shared" si="18"/>
        <v>550000.15</v>
      </c>
      <c r="H159" s="1" t="s">
        <v>134</v>
      </c>
      <c r="I159" s="4">
        <v>45168</v>
      </c>
      <c r="J159" s="1" t="s">
        <v>26</v>
      </c>
      <c r="L159" s="10" t="s">
        <v>8</v>
      </c>
    </row>
    <row r="160" spans="1:12" x14ac:dyDescent="0.2">
      <c r="D160" s="8">
        <f>SUM(D131:D159)</f>
        <v>3342401</v>
      </c>
      <c r="E160" s="8">
        <f>SUM(E131:E159)</f>
        <v>4467828.3427999998</v>
      </c>
      <c r="F160" s="8">
        <f>SUM(F131:F159)</f>
        <v>21720853.002899997</v>
      </c>
      <c r="G160" s="8">
        <f>SUM(G131:G159)</f>
        <v>29531082.345699996</v>
      </c>
    </row>
    <row r="162" spans="1:12" x14ac:dyDescent="0.2">
      <c r="A162" s="4">
        <v>45167</v>
      </c>
      <c r="B162" s="6" t="s">
        <v>229</v>
      </c>
      <c r="C162" s="1" t="s">
        <v>57</v>
      </c>
      <c r="D162" s="8">
        <v>113705</v>
      </c>
      <c r="E162" s="8">
        <v>0</v>
      </c>
      <c r="F162" s="8">
        <f t="shared" ref="F162:F167" si="21">+D162*0.19</f>
        <v>21603.95</v>
      </c>
      <c r="G162" s="8">
        <f t="shared" ref="G162:G182" si="22">SUM(D162:F162)</f>
        <v>135308.95000000001</v>
      </c>
      <c r="H162" s="1" t="s">
        <v>216</v>
      </c>
      <c r="I162" s="4">
        <v>45156</v>
      </c>
      <c r="J162" s="1" t="s">
        <v>59</v>
      </c>
      <c r="L162" s="10" t="s">
        <v>9</v>
      </c>
    </row>
    <row r="163" spans="1:12" x14ac:dyDescent="0.2">
      <c r="A163" s="4">
        <v>45168</v>
      </c>
      <c r="B163" s="6" t="s">
        <v>230</v>
      </c>
      <c r="C163" s="1" t="s">
        <v>231</v>
      </c>
      <c r="D163" s="8">
        <v>1991330</v>
      </c>
      <c r="E163" s="8">
        <v>0</v>
      </c>
      <c r="F163" s="8">
        <f t="shared" si="21"/>
        <v>378352.7</v>
      </c>
      <c r="G163" s="8">
        <f t="shared" si="22"/>
        <v>2369682.7000000002</v>
      </c>
      <c r="H163" s="1" t="s">
        <v>232</v>
      </c>
      <c r="I163" s="4">
        <v>45170</v>
      </c>
      <c r="J163" s="1" t="s">
        <v>26</v>
      </c>
      <c r="L163" s="10" t="s">
        <v>9</v>
      </c>
    </row>
    <row r="164" spans="1:12" x14ac:dyDescent="0.2">
      <c r="A164" s="4">
        <v>45169</v>
      </c>
      <c r="B164" s="6" t="s">
        <v>233</v>
      </c>
      <c r="C164" s="1" t="s">
        <v>57</v>
      </c>
      <c r="D164" s="8">
        <v>42711</v>
      </c>
      <c r="E164" s="8">
        <v>0</v>
      </c>
      <c r="F164" s="8">
        <f t="shared" si="21"/>
        <v>8115.09</v>
      </c>
      <c r="G164" s="8">
        <f t="shared" si="22"/>
        <v>50826.09</v>
      </c>
      <c r="H164" s="1" t="s">
        <v>234</v>
      </c>
      <c r="I164" s="4">
        <v>45170</v>
      </c>
      <c r="J164" s="1" t="s">
        <v>59</v>
      </c>
      <c r="L164" s="10" t="s">
        <v>9</v>
      </c>
    </row>
    <row r="165" spans="1:12" x14ac:dyDescent="0.2">
      <c r="A165" s="4">
        <v>45170</v>
      </c>
      <c r="B165" s="6" t="s">
        <v>235</v>
      </c>
      <c r="C165" s="1" t="s">
        <v>77</v>
      </c>
      <c r="D165" s="8">
        <v>44166</v>
      </c>
      <c r="E165" s="8">
        <v>0</v>
      </c>
      <c r="F165" s="8">
        <f t="shared" si="21"/>
        <v>8391.5400000000009</v>
      </c>
      <c r="G165" s="8">
        <f t="shared" si="22"/>
        <v>52557.54</v>
      </c>
      <c r="H165" s="1" t="s">
        <v>234</v>
      </c>
      <c r="I165" s="4">
        <v>45170</v>
      </c>
      <c r="J165" s="1" t="s">
        <v>59</v>
      </c>
      <c r="L165" s="10" t="s">
        <v>9</v>
      </c>
    </row>
    <row r="166" spans="1:12" x14ac:dyDescent="0.2">
      <c r="A166" s="4">
        <v>45170</v>
      </c>
      <c r="B166" s="6" t="s">
        <v>236</v>
      </c>
      <c r="C166" s="1" t="s">
        <v>57</v>
      </c>
      <c r="D166" s="8">
        <v>216810</v>
      </c>
      <c r="E166" s="8">
        <v>0</v>
      </c>
      <c r="F166" s="8">
        <f t="shared" si="21"/>
        <v>41193.9</v>
      </c>
      <c r="G166" s="8">
        <f t="shared" si="22"/>
        <v>258003.9</v>
      </c>
      <c r="H166" s="1" t="s">
        <v>203</v>
      </c>
      <c r="I166" s="4">
        <v>45141</v>
      </c>
      <c r="J166" s="1" t="s">
        <v>59</v>
      </c>
      <c r="L166" s="10" t="s">
        <v>9</v>
      </c>
    </row>
    <row r="167" spans="1:12" x14ac:dyDescent="0.2">
      <c r="A167" s="4">
        <v>45170</v>
      </c>
      <c r="B167" s="6" t="s">
        <v>237</v>
      </c>
      <c r="C167" s="1" t="s">
        <v>57</v>
      </c>
      <c r="D167" s="8">
        <v>253229</v>
      </c>
      <c r="E167" s="8">
        <v>0</v>
      </c>
      <c r="F167" s="8">
        <f t="shared" si="21"/>
        <v>48113.51</v>
      </c>
      <c r="G167" s="8">
        <f t="shared" si="22"/>
        <v>301342.51</v>
      </c>
      <c r="H167" s="1" t="s">
        <v>203</v>
      </c>
      <c r="I167" s="4">
        <v>45141</v>
      </c>
      <c r="J167" s="1" t="s">
        <v>59</v>
      </c>
      <c r="L167" s="10" t="s">
        <v>9</v>
      </c>
    </row>
    <row r="168" spans="1:12" x14ac:dyDescent="0.2">
      <c r="A168" s="20">
        <v>45170</v>
      </c>
      <c r="B168" s="21" t="s">
        <v>238</v>
      </c>
      <c r="C168" s="22" t="s">
        <v>88</v>
      </c>
      <c r="D168" s="23">
        <v>0</v>
      </c>
      <c r="E168" s="23">
        <f>293.13*857.59</f>
        <v>251385.3567</v>
      </c>
      <c r="F168" s="23">
        <f>983.92*857.59</f>
        <v>843799.95279999997</v>
      </c>
      <c r="G168" s="23">
        <f t="shared" si="22"/>
        <v>1095185.3095</v>
      </c>
      <c r="H168" s="22" t="s">
        <v>234</v>
      </c>
      <c r="I168" s="4">
        <v>45170</v>
      </c>
      <c r="J168" s="1" t="s">
        <v>59</v>
      </c>
      <c r="L168" s="10" t="s">
        <v>9</v>
      </c>
    </row>
    <row r="169" spans="1:12" x14ac:dyDescent="0.2">
      <c r="A169" s="4">
        <v>45170</v>
      </c>
      <c r="B169" s="6" t="s">
        <v>239</v>
      </c>
      <c r="C169" s="1" t="s">
        <v>24</v>
      </c>
      <c r="D169" s="8">
        <v>0</v>
      </c>
      <c r="E169" s="8">
        <v>768474</v>
      </c>
      <c r="F169" s="8">
        <f t="shared" ref="F169:F177" si="23">+D169*0.19</f>
        <v>0</v>
      </c>
      <c r="G169" s="8">
        <f t="shared" si="22"/>
        <v>768474</v>
      </c>
      <c r="H169" s="1" t="s">
        <v>25</v>
      </c>
      <c r="I169" s="4">
        <v>45189</v>
      </c>
      <c r="J169" s="1" t="s">
        <v>26</v>
      </c>
      <c r="L169" s="10" t="s">
        <v>9</v>
      </c>
    </row>
    <row r="170" spans="1:12" x14ac:dyDescent="0.2">
      <c r="A170" s="4">
        <v>45173</v>
      </c>
      <c r="B170" s="6" t="s">
        <v>240</v>
      </c>
      <c r="C170" s="1" t="s">
        <v>57</v>
      </c>
      <c r="D170" s="8">
        <v>216894</v>
      </c>
      <c r="E170" s="8">
        <v>0</v>
      </c>
      <c r="F170" s="8">
        <f t="shared" si="23"/>
        <v>41209.86</v>
      </c>
      <c r="G170" s="8">
        <f t="shared" si="22"/>
        <v>258103.86</v>
      </c>
      <c r="H170" s="1" t="s">
        <v>216</v>
      </c>
      <c r="I170" s="4">
        <v>45156</v>
      </c>
      <c r="J170" s="1" t="s">
        <v>59</v>
      </c>
      <c r="L170" s="10" t="s">
        <v>9</v>
      </c>
    </row>
    <row r="171" spans="1:12" x14ac:dyDescent="0.2">
      <c r="A171" s="4">
        <v>45177</v>
      </c>
      <c r="B171" s="6" t="s">
        <v>241</v>
      </c>
      <c r="C171" s="1" t="s">
        <v>170</v>
      </c>
      <c r="D171" s="8">
        <v>134711</v>
      </c>
      <c r="E171" s="8">
        <v>0</v>
      </c>
      <c r="F171" s="8">
        <f t="shared" si="23"/>
        <v>25595.09</v>
      </c>
      <c r="G171" s="8">
        <f t="shared" si="22"/>
        <v>160306.09</v>
      </c>
      <c r="H171" s="1" t="s">
        <v>234</v>
      </c>
      <c r="I171" s="4">
        <v>45170</v>
      </c>
      <c r="J171" s="1" t="s">
        <v>59</v>
      </c>
      <c r="L171" s="10" t="s">
        <v>9</v>
      </c>
    </row>
    <row r="172" spans="1:12" x14ac:dyDescent="0.2">
      <c r="A172" s="4">
        <v>45177</v>
      </c>
      <c r="B172" s="6" t="s">
        <v>242</v>
      </c>
      <c r="C172" s="1" t="s">
        <v>51</v>
      </c>
      <c r="D172" s="8">
        <v>72270</v>
      </c>
      <c r="E172" s="8">
        <v>0</v>
      </c>
      <c r="F172" s="8">
        <f t="shared" si="23"/>
        <v>13731.3</v>
      </c>
      <c r="G172" s="8">
        <f t="shared" si="22"/>
        <v>86001.3</v>
      </c>
      <c r="H172" s="1" t="s">
        <v>52</v>
      </c>
      <c r="I172" s="4">
        <v>45177</v>
      </c>
      <c r="J172" s="1" t="s">
        <v>129</v>
      </c>
      <c r="L172" s="10" t="s">
        <v>9</v>
      </c>
    </row>
    <row r="173" spans="1:12" x14ac:dyDescent="0.2">
      <c r="A173" s="4">
        <v>45180</v>
      </c>
      <c r="B173" s="6" t="s">
        <v>243</v>
      </c>
      <c r="C173" s="1" t="s">
        <v>176</v>
      </c>
      <c r="D173" s="8">
        <v>362036</v>
      </c>
      <c r="E173" s="8">
        <v>0</v>
      </c>
      <c r="F173" s="8">
        <f t="shared" si="23"/>
        <v>68786.84</v>
      </c>
      <c r="G173" s="8">
        <f t="shared" si="22"/>
        <v>430822.83999999997</v>
      </c>
      <c r="H173" s="1" t="s">
        <v>177</v>
      </c>
      <c r="I173" s="4">
        <v>45170</v>
      </c>
      <c r="J173" s="1" t="s">
        <v>26</v>
      </c>
      <c r="L173" s="10" t="s">
        <v>9</v>
      </c>
    </row>
    <row r="174" spans="1:12" x14ac:dyDescent="0.2">
      <c r="A174" s="4">
        <v>45180</v>
      </c>
      <c r="B174" s="6" t="s">
        <v>244</v>
      </c>
      <c r="C174" s="1" t="s">
        <v>51</v>
      </c>
      <c r="D174" s="8">
        <v>723</v>
      </c>
      <c r="E174" s="8">
        <v>0</v>
      </c>
      <c r="F174" s="8">
        <f t="shared" si="23"/>
        <v>137.37</v>
      </c>
      <c r="G174" s="8">
        <f t="shared" si="22"/>
        <v>860.37</v>
      </c>
      <c r="H174" s="1" t="s">
        <v>52</v>
      </c>
      <c r="I174" s="4">
        <v>45180</v>
      </c>
      <c r="J174" s="1" t="s">
        <v>129</v>
      </c>
      <c r="L174" s="10" t="s">
        <v>9</v>
      </c>
    </row>
    <row r="175" spans="1:12" x14ac:dyDescent="0.2">
      <c r="A175" s="4">
        <v>45181</v>
      </c>
      <c r="B175" s="6" t="s">
        <v>245</v>
      </c>
      <c r="C175" s="1" t="s">
        <v>57</v>
      </c>
      <c r="D175" s="8">
        <v>217055</v>
      </c>
      <c r="E175" s="8">
        <v>0</v>
      </c>
      <c r="F175" s="8">
        <f t="shared" si="23"/>
        <v>41240.449999999997</v>
      </c>
      <c r="G175" s="8">
        <f t="shared" si="22"/>
        <v>258295.45</v>
      </c>
      <c r="H175" s="1" t="s">
        <v>234</v>
      </c>
      <c r="I175" s="4">
        <v>45170</v>
      </c>
      <c r="J175" s="1" t="s">
        <v>59</v>
      </c>
      <c r="L175" s="10" t="s">
        <v>9</v>
      </c>
    </row>
    <row r="176" spans="1:12" x14ac:dyDescent="0.2">
      <c r="A176" s="4">
        <v>45182</v>
      </c>
      <c r="B176" s="6" t="s">
        <v>246</v>
      </c>
      <c r="C176" s="1" t="s">
        <v>46</v>
      </c>
      <c r="D176" s="8">
        <v>4164835</v>
      </c>
      <c r="E176" s="8">
        <v>0</v>
      </c>
      <c r="F176" s="8">
        <f t="shared" si="23"/>
        <v>791318.65</v>
      </c>
      <c r="G176" s="8">
        <f t="shared" si="22"/>
        <v>4956153.6500000004</v>
      </c>
      <c r="H176" s="1" t="s">
        <v>247</v>
      </c>
      <c r="I176" s="4">
        <v>45191</v>
      </c>
      <c r="J176" s="1" t="s">
        <v>26</v>
      </c>
      <c r="L176" s="10" t="s">
        <v>9</v>
      </c>
    </row>
    <row r="177" spans="1:12" x14ac:dyDescent="0.2">
      <c r="A177" s="4">
        <v>45189</v>
      </c>
      <c r="B177" s="6" t="s">
        <v>248</v>
      </c>
      <c r="C177" s="1" t="s">
        <v>133</v>
      </c>
      <c r="D177" s="8">
        <v>21008</v>
      </c>
      <c r="E177" s="8">
        <v>0</v>
      </c>
      <c r="F177" s="8">
        <f t="shared" si="23"/>
        <v>3991.52</v>
      </c>
      <c r="G177" s="8">
        <f t="shared" si="22"/>
        <v>24999.52</v>
      </c>
      <c r="H177" s="1" t="s">
        <v>134</v>
      </c>
      <c r="I177" s="4">
        <v>45194</v>
      </c>
      <c r="J177" s="1" t="s">
        <v>249</v>
      </c>
      <c r="L177" s="10" t="s">
        <v>9</v>
      </c>
    </row>
    <row r="178" spans="1:12" x14ac:dyDescent="0.2">
      <c r="A178" s="20">
        <v>45194</v>
      </c>
      <c r="B178" s="21" t="s">
        <v>250</v>
      </c>
      <c r="C178" s="22" t="s">
        <v>88</v>
      </c>
      <c r="D178" s="23">
        <v>0</v>
      </c>
      <c r="E178" s="23">
        <f>501.25*857.59</f>
        <v>429866.98749999999</v>
      </c>
      <c r="F178" s="23">
        <f>1682.51*857.59</f>
        <v>1442903.7509000001</v>
      </c>
      <c r="G178" s="23">
        <f t="shared" si="22"/>
        <v>1872770.7384000001</v>
      </c>
      <c r="H178" s="22" t="s">
        <v>251</v>
      </c>
      <c r="I178" s="4">
        <v>45191</v>
      </c>
      <c r="J178" s="1" t="s">
        <v>59</v>
      </c>
      <c r="L178" s="10" t="s">
        <v>9</v>
      </c>
    </row>
    <row r="179" spans="1:12" x14ac:dyDescent="0.2">
      <c r="A179" s="4">
        <v>45196</v>
      </c>
      <c r="B179" s="6" t="s">
        <v>252</v>
      </c>
      <c r="C179" s="1" t="s">
        <v>133</v>
      </c>
      <c r="D179" s="8">
        <v>58824</v>
      </c>
      <c r="E179" s="8">
        <v>0</v>
      </c>
      <c r="F179" s="8">
        <f>+D179*0.19</f>
        <v>11176.56</v>
      </c>
      <c r="G179" s="8">
        <f t="shared" si="22"/>
        <v>70000.56</v>
      </c>
      <c r="H179" s="1" t="s">
        <v>134</v>
      </c>
      <c r="I179" s="4">
        <v>45194</v>
      </c>
      <c r="J179" s="1" t="s">
        <v>249</v>
      </c>
      <c r="L179" s="10" t="s">
        <v>9</v>
      </c>
    </row>
    <row r="180" spans="1:12" x14ac:dyDescent="0.2">
      <c r="A180" s="4">
        <v>45196</v>
      </c>
      <c r="B180" s="6" t="s">
        <v>253</v>
      </c>
      <c r="C180" s="1" t="s">
        <v>77</v>
      </c>
      <c r="D180" s="8">
        <v>42451</v>
      </c>
      <c r="E180" s="8">
        <v>0</v>
      </c>
      <c r="F180" s="8">
        <f>+D180*0.19</f>
        <v>8065.6900000000005</v>
      </c>
      <c r="G180" s="8">
        <f t="shared" si="22"/>
        <v>50516.69</v>
      </c>
      <c r="H180" s="1" t="s">
        <v>251</v>
      </c>
      <c r="I180" s="4">
        <v>45191</v>
      </c>
      <c r="J180" s="1" t="s">
        <v>59</v>
      </c>
      <c r="L180" s="10" t="s">
        <v>9</v>
      </c>
    </row>
    <row r="181" spans="1:12" x14ac:dyDescent="0.2">
      <c r="A181" s="4">
        <v>45196</v>
      </c>
      <c r="B181" s="6" t="s">
        <v>254</v>
      </c>
      <c r="C181" s="1" t="s">
        <v>166</v>
      </c>
      <c r="D181" s="8">
        <v>25000</v>
      </c>
      <c r="E181" s="8">
        <v>0</v>
      </c>
      <c r="F181" s="8">
        <f>+D181*0.19</f>
        <v>4750</v>
      </c>
      <c r="G181" s="8">
        <f t="shared" si="22"/>
        <v>29750</v>
      </c>
      <c r="H181" s="1" t="s">
        <v>251</v>
      </c>
      <c r="I181" s="4">
        <v>45191</v>
      </c>
      <c r="J181" s="1" t="s">
        <v>59</v>
      </c>
      <c r="L181" s="10" t="s">
        <v>9</v>
      </c>
    </row>
    <row r="182" spans="1:12" x14ac:dyDescent="0.2">
      <c r="A182" s="4">
        <v>45198</v>
      </c>
      <c r="B182" s="6" t="s">
        <v>255</v>
      </c>
      <c r="C182" s="1" t="s">
        <v>170</v>
      </c>
      <c r="D182" s="11">
        <v>134711</v>
      </c>
      <c r="E182" s="11">
        <v>0</v>
      </c>
      <c r="F182" s="11">
        <f>+D182*0.19</f>
        <v>25595.09</v>
      </c>
      <c r="G182" s="11">
        <f t="shared" si="22"/>
        <v>160306.09</v>
      </c>
      <c r="H182" s="1" t="s">
        <v>251</v>
      </c>
      <c r="I182" s="4">
        <v>45191</v>
      </c>
      <c r="J182" s="1" t="s">
        <v>59</v>
      </c>
      <c r="L182" s="10" t="s">
        <v>9</v>
      </c>
    </row>
    <row r="183" spans="1:12" x14ac:dyDescent="0.2">
      <c r="D183" s="8">
        <f>SUM(D162:D182)</f>
        <v>8112469</v>
      </c>
      <c r="E183" s="8">
        <f t="shared" ref="E183:G183" si="24">SUM(E162:E182)</f>
        <v>1449726.3441999999</v>
      </c>
      <c r="F183" s="8">
        <f t="shared" si="24"/>
        <v>3828072.8137000008</v>
      </c>
      <c r="G183" s="8">
        <f t="shared" si="24"/>
        <v>13390268.157900002</v>
      </c>
    </row>
    <row r="185" spans="1:12" x14ac:dyDescent="0.2">
      <c r="A185" s="4">
        <v>45194</v>
      </c>
      <c r="B185" s="6" t="s">
        <v>256</v>
      </c>
      <c r="C185" s="1" t="s">
        <v>145</v>
      </c>
      <c r="D185" s="8">
        <v>293251</v>
      </c>
      <c r="E185" s="8">
        <v>0</v>
      </c>
      <c r="F185" s="8">
        <f t="shared" ref="F185:F200" si="25">+D185*0.19</f>
        <v>55717.69</v>
      </c>
      <c r="G185" s="8">
        <f t="shared" ref="G185:G200" si="26">SUM(D185:F185)</f>
        <v>348968.69</v>
      </c>
      <c r="H185" s="1" t="s">
        <v>251</v>
      </c>
      <c r="I185" s="4">
        <v>45191</v>
      </c>
      <c r="J185" s="1" t="s">
        <v>59</v>
      </c>
      <c r="L185" s="10" t="s">
        <v>10</v>
      </c>
    </row>
    <row r="186" spans="1:12" x14ac:dyDescent="0.2">
      <c r="A186" s="4">
        <v>45194</v>
      </c>
      <c r="B186" s="6" t="s">
        <v>257</v>
      </c>
      <c r="C186" s="1" t="s">
        <v>145</v>
      </c>
      <c r="D186" s="8">
        <v>0</v>
      </c>
      <c r="E186" s="8">
        <v>1297980</v>
      </c>
      <c r="F186" s="8">
        <f t="shared" si="25"/>
        <v>0</v>
      </c>
      <c r="G186" s="8">
        <f t="shared" si="26"/>
        <v>1297980</v>
      </c>
      <c r="H186" s="1" t="s">
        <v>251</v>
      </c>
      <c r="I186" s="4">
        <v>45191</v>
      </c>
      <c r="J186" s="1" t="s">
        <v>59</v>
      </c>
      <c r="L186" s="10" t="s">
        <v>10</v>
      </c>
    </row>
    <row r="187" spans="1:12" x14ac:dyDescent="0.2">
      <c r="A187" s="4">
        <v>45195</v>
      </c>
      <c r="B187" s="6" t="s">
        <v>258</v>
      </c>
      <c r="C187" s="1" t="s">
        <v>57</v>
      </c>
      <c r="D187" s="8">
        <v>45007</v>
      </c>
      <c r="E187" s="8">
        <v>0</v>
      </c>
      <c r="F187" s="8">
        <f t="shared" si="25"/>
        <v>8551.33</v>
      </c>
      <c r="G187" s="8">
        <f t="shared" si="26"/>
        <v>53558.33</v>
      </c>
      <c r="H187" s="1" t="s">
        <v>251</v>
      </c>
      <c r="I187" s="4">
        <v>45191</v>
      </c>
      <c r="J187" s="1" t="s">
        <v>59</v>
      </c>
      <c r="L187" s="10" t="s">
        <v>10</v>
      </c>
    </row>
    <row r="188" spans="1:12" x14ac:dyDescent="0.2">
      <c r="A188" s="4">
        <v>45195</v>
      </c>
      <c r="B188" s="6" t="s">
        <v>259</v>
      </c>
      <c r="C188" s="1" t="s">
        <v>260</v>
      </c>
      <c r="D188" s="8">
        <v>67000</v>
      </c>
      <c r="E188" s="8">
        <v>0</v>
      </c>
      <c r="F188" s="8">
        <f t="shared" si="25"/>
        <v>12730</v>
      </c>
      <c r="G188" s="8">
        <f t="shared" si="26"/>
        <v>79730</v>
      </c>
      <c r="H188" s="1" t="s">
        <v>261</v>
      </c>
      <c r="I188" s="4">
        <v>45189</v>
      </c>
      <c r="J188" s="1" t="s">
        <v>26</v>
      </c>
      <c r="L188" s="10" t="s">
        <v>10</v>
      </c>
    </row>
    <row r="189" spans="1:12" x14ac:dyDescent="0.2">
      <c r="A189" s="4">
        <v>45195</v>
      </c>
      <c r="B189" s="6" t="s">
        <v>262</v>
      </c>
      <c r="C189" s="1" t="s">
        <v>46</v>
      </c>
      <c r="D189" s="8">
        <v>6730562</v>
      </c>
      <c r="E189" s="8">
        <v>0</v>
      </c>
      <c r="F189" s="8">
        <f t="shared" si="25"/>
        <v>1278806.78</v>
      </c>
      <c r="G189" s="8">
        <f t="shared" si="26"/>
        <v>8009368.7800000003</v>
      </c>
      <c r="H189" s="1" t="s">
        <v>247</v>
      </c>
      <c r="I189" s="4">
        <v>45243</v>
      </c>
      <c r="J189" s="1" t="s">
        <v>26</v>
      </c>
      <c r="L189" s="10" t="s">
        <v>10</v>
      </c>
    </row>
    <row r="190" spans="1:12" x14ac:dyDescent="0.2">
      <c r="A190" s="4">
        <v>45195</v>
      </c>
      <c r="B190" s="6" t="s">
        <v>263</v>
      </c>
      <c r="C190" s="1" t="s">
        <v>46</v>
      </c>
      <c r="D190" s="8">
        <v>12920321</v>
      </c>
      <c r="E190" s="8">
        <v>0</v>
      </c>
      <c r="F190" s="8">
        <f t="shared" si="25"/>
        <v>2454860.9900000002</v>
      </c>
      <c r="G190" s="8">
        <f t="shared" si="26"/>
        <v>15375181.99</v>
      </c>
      <c r="H190" s="1" t="s">
        <v>264</v>
      </c>
      <c r="I190" s="4">
        <v>45243</v>
      </c>
      <c r="J190" s="1" t="s">
        <v>26</v>
      </c>
      <c r="L190" s="10" t="s">
        <v>10</v>
      </c>
    </row>
    <row r="191" spans="1:12" x14ac:dyDescent="0.2">
      <c r="A191" s="4">
        <v>45195</v>
      </c>
      <c r="B191" s="6" t="s">
        <v>265</v>
      </c>
      <c r="C191" s="1" t="s">
        <v>46</v>
      </c>
      <c r="D191" s="8">
        <v>1185482</v>
      </c>
      <c r="E191" s="8">
        <v>0</v>
      </c>
      <c r="F191" s="8">
        <f t="shared" si="25"/>
        <v>225241.58000000002</v>
      </c>
      <c r="G191" s="8">
        <f t="shared" si="26"/>
        <v>1410723.58</v>
      </c>
      <c r="H191" s="1" t="s">
        <v>247</v>
      </c>
      <c r="I191" s="4">
        <v>45243</v>
      </c>
      <c r="J191" s="1" t="s">
        <v>26</v>
      </c>
      <c r="L191" s="10" t="s">
        <v>10</v>
      </c>
    </row>
    <row r="192" spans="1:12" x14ac:dyDescent="0.2">
      <c r="A192" s="4">
        <v>45195</v>
      </c>
      <c r="B192" s="6" t="s">
        <v>266</v>
      </c>
      <c r="C192" s="1" t="s">
        <v>46</v>
      </c>
      <c r="D192" s="8">
        <v>7276502</v>
      </c>
      <c r="E192" s="8">
        <v>0</v>
      </c>
      <c r="F192" s="8">
        <f t="shared" si="25"/>
        <v>1382535.3800000001</v>
      </c>
      <c r="G192" s="8">
        <f t="shared" si="26"/>
        <v>8659037.3800000008</v>
      </c>
      <c r="H192" s="1" t="s">
        <v>247</v>
      </c>
      <c r="I192" s="4">
        <v>45243</v>
      </c>
      <c r="J192" s="1" t="s">
        <v>26</v>
      </c>
      <c r="L192" s="10" t="s">
        <v>10</v>
      </c>
    </row>
    <row r="193" spans="1:12" x14ac:dyDescent="0.2">
      <c r="A193" s="4">
        <v>45195</v>
      </c>
      <c r="B193" s="6" t="s">
        <v>267</v>
      </c>
      <c r="C193" s="1" t="s">
        <v>46</v>
      </c>
      <c r="D193" s="8">
        <v>2746840</v>
      </c>
      <c r="E193" s="8">
        <v>0</v>
      </c>
      <c r="F193" s="8">
        <f t="shared" si="25"/>
        <v>521899.60000000003</v>
      </c>
      <c r="G193" s="8">
        <f t="shared" si="26"/>
        <v>3268739.6</v>
      </c>
      <c r="H193" s="1" t="s">
        <v>247</v>
      </c>
      <c r="I193" s="4">
        <v>45243</v>
      </c>
      <c r="J193" s="1" t="s">
        <v>26</v>
      </c>
      <c r="L193" s="10" t="s">
        <v>10</v>
      </c>
    </row>
    <row r="194" spans="1:12" x14ac:dyDescent="0.2">
      <c r="A194" s="4">
        <v>45195</v>
      </c>
      <c r="B194" s="6" t="s">
        <v>268</v>
      </c>
      <c r="C194" s="1" t="s">
        <v>46</v>
      </c>
      <c r="D194" s="8">
        <v>6494084</v>
      </c>
      <c r="E194" s="8">
        <v>0</v>
      </c>
      <c r="F194" s="8">
        <f t="shared" si="25"/>
        <v>1233875.96</v>
      </c>
      <c r="G194" s="8">
        <f t="shared" si="26"/>
        <v>7727959.96</v>
      </c>
      <c r="H194" s="1" t="s">
        <v>247</v>
      </c>
      <c r="I194" s="4">
        <v>45229</v>
      </c>
      <c r="J194" s="1" t="s">
        <v>26</v>
      </c>
      <c r="L194" s="10" t="s">
        <v>10</v>
      </c>
    </row>
    <row r="195" spans="1:12" x14ac:dyDescent="0.2">
      <c r="A195" s="4">
        <v>45197</v>
      </c>
      <c r="B195" s="6" t="s">
        <v>269</v>
      </c>
      <c r="C195" s="1" t="s">
        <v>46</v>
      </c>
      <c r="D195" s="8">
        <v>543405</v>
      </c>
      <c r="E195" s="8">
        <v>0</v>
      </c>
      <c r="F195" s="8">
        <f t="shared" si="25"/>
        <v>103246.95</v>
      </c>
      <c r="G195" s="8">
        <f t="shared" si="26"/>
        <v>646651.94999999995</v>
      </c>
      <c r="H195" s="1" t="s">
        <v>247</v>
      </c>
      <c r="I195" s="4">
        <v>45229</v>
      </c>
      <c r="J195" s="1" t="s">
        <v>26</v>
      </c>
      <c r="L195" s="10" t="s">
        <v>10</v>
      </c>
    </row>
    <row r="196" spans="1:12" x14ac:dyDescent="0.2">
      <c r="A196" s="4">
        <v>45197</v>
      </c>
      <c r="B196" s="6" t="s">
        <v>270</v>
      </c>
      <c r="C196" s="1" t="s">
        <v>231</v>
      </c>
      <c r="D196" s="8">
        <v>18905639</v>
      </c>
      <c r="E196" s="8">
        <v>0</v>
      </c>
      <c r="F196" s="8">
        <f t="shared" si="25"/>
        <v>3592071.41</v>
      </c>
      <c r="G196" s="8">
        <f t="shared" si="26"/>
        <v>22497710.41</v>
      </c>
      <c r="H196" s="1" t="s">
        <v>247</v>
      </c>
      <c r="I196" s="4">
        <v>45233</v>
      </c>
      <c r="J196" s="1" t="s">
        <v>26</v>
      </c>
      <c r="L196" s="10" t="s">
        <v>10</v>
      </c>
    </row>
    <row r="197" spans="1:12" x14ac:dyDescent="0.2">
      <c r="A197" s="4">
        <v>45201</v>
      </c>
      <c r="B197" s="6" t="s">
        <v>271</v>
      </c>
      <c r="C197" s="1" t="s">
        <v>24</v>
      </c>
      <c r="D197" s="8">
        <v>0</v>
      </c>
      <c r="E197" s="8">
        <v>806040</v>
      </c>
      <c r="F197" s="8">
        <f t="shared" si="25"/>
        <v>0</v>
      </c>
      <c r="G197" s="8">
        <f t="shared" si="26"/>
        <v>806040</v>
      </c>
      <c r="H197" s="1" t="s">
        <v>25</v>
      </c>
      <c r="I197" s="4">
        <v>45229</v>
      </c>
      <c r="J197" s="1" t="s">
        <v>26</v>
      </c>
      <c r="L197" s="10" t="s">
        <v>10</v>
      </c>
    </row>
    <row r="198" spans="1:12" x14ac:dyDescent="0.2">
      <c r="A198" s="4">
        <v>45205</v>
      </c>
      <c r="B198" s="6" t="s">
        <v>272</v>
      </c>
      <c r="C198" s="1" t="s">
        <v>57</v>
      </c>
      <c r="D198" s="8">
        <v>217229</v>
      </c>
      <c r="E198" s="8">
        <v>0</v>
      </c>
      <c r="F198" s="8">
        <f t="shared" si="25"/>
        <v>41273.51</v>
      </c>
      <c r="G198" s="8">
        <f t="shared" si="26"/>
        <v>258502.51</v>
      </c>
      <c r="H198" s="1" t="s">
        <v>251</v>
      </c>
      <c r="I198" s="4">
        <v>45191</v>
      </c>
      <c r="J198" s="1" t="s">
        <v>59</v>
      </c>
      <c r="L198" s="10" t="s">
        <v>10</v>
      </c>
    </row>
    <row r="199" spans="1:12" x14ac:dyDescent="0.2">
      <c r="A199" s="4">
        <v>45209</v>
      </c>
      <c r="B199" s="9" t="s">
        <v>273</v>
      </c>
      <c r="C199" s="1" t="s">
        <v>51</v>
      </c>
      <c r="D199" s="8">
        <v>90500</v>
      </c>
      <c r="E199" s="8">
        <v>0</v>
      </c>
      <c r="F199" s="8">
        <f t="shared" si="25"/>
        <v>17195</v>
      </c>
      <c r="G199" s="8">
        <f t="shared" si="26"/>
        <v>107695</v>
      </c>
      <c r="H199" s="1" t="s">
        <v>52</v>
      </c>
      <c r="I199" s="4">
        <v>45209</v>
      </c>
      <c r="J199" s="1" t="s">
        <v>129</v>
      </c>
      <c r="L199" s="10" t="s">
        <v>10</v>
      </c>
    </row>
    <row r="200" spans="1:12" x14ac:dyDescent="0.2">
      <c r="A200" s="4">
        <v>45210</v>
      </c>
      <c r="B200" s="6" t="s">
        <v>274</v>
      </c>
      <c r="C200" s="1" t="s">
        <v>275</v>
      </c>
      <c r="D200" s="8">
        <v>1934022</v>
      </c>
      <c r="E200" s="8">
        <v>0</v>
      </c>
      <c r="F200" s="8">
        <f t="shared" si="25"/>
        <v>367464.18</v>
      </c>
      <c r="G200" s="8">
        <f t="shared" si="26"/>
        <v>2301486.1800000002</v>
      </c>
      <c r="H200" s="1" t="s">
        <v>247</v>
      </c>
      <c r="I200" s="4">
        <v>45210</v>
      </c>
      <c r="J200" s="1" t="s">
        <v>26</v>
      </c>
      <c r="L200" s="10" t="s">
        <v>10</v>
      </c>
    </row>
    <row r="201" spans="1:12" x14ac:dyDescent="0.2">
      <c r="A201" s="20">
        <v>45210</v>
      </c>
      <c r="B201" s="21" t="s">
        <v>276</v>
      </c>
      <c r="C201" s="22" t="s">
        <v>88</v>
      </c>
      <c r="D201" s="23">
        <v>0</v>
      </c>
      <c r="E201" s="23">
        <f>56.84*904.62</f>
        <v>51418.6008</v>
      </c>
      <c r="F201" s="23">
        <f>190.8*904.62</f>
        <v>172601.49600000001</v>
      </c>
      <c r="G201" s="23">
        <f>SUM(E201:F201)</f>
        <v>224020.0968</v>
      </c>
      <c r="H201" s="22" t="s">
        <v>277</v>
      </c>
      <c r="I201" s="4">
        <v>45211</v>
      </c>
      <c r="J201" s="1" t="s">
        <v>26</v>
      </c>
      <c r="L201" s="10" t="s">
        <v>10</v>
      </c>
    </row>
    <row r="202" spans="1:12" x14ac:dyDescent="0.2">
      <c r="A202" s="20">
        <v>45210</v>
      </c>
      <c r="B202" s="21" t="s">
        <v>278</v>
      </c>
      <c r="C202" s="22" t="s">
        <v>88</v>
      </c>
      <c r="D202" s="23">
        <v>0</v>
      </c>
      <c r="E202" s="23">
        <f>119.09*904.62</f>
        <v>107731.1958</v>
      </c>
      <c r="F202" s="23">
        <f>399.76*904.62</f>
        <v>361630.89120000001</v>
      </c>
      <c r="G202" s="23">
        <f>SUM(E202:F202)</f>
        <v>469362.087</v>
      </c>
      <c r="H202" s="22" t="s">
        <v>279</v>
      </c>
      <c r="I202" s="4">
        <v>45211</v>
      </c>
      <c r="J202" s="1" t="s">
        <v>26</v>
      </c>
      <c r="L202" s="10" t="s">
        <v>10</v>
      </c>
    </row>
    <row r="203" spans="1:12" x14ac:dyDescent="0.2">
      <c r="A203" s="4">
        <v>45212</v>
      </c>
      <c r="B203" s="6" t="s">
        <v>280</v>
      </c>
      <c r="C203" s="1" t="s">
        <v>71</v>
      </c>
      <c r="D203" s="8">
        <v>63007</v>
      </c>
      <c r="E203" s="8">
        <v>0</v>
      </c>
      <c r="F203" s="8">
        <f>+D203*0.19</f>
        <v>11971.33</v>
      </c>
      <c r="G203" s="8">
        <f t="shared" ref="G203:G223" si="27">SUM(D203:F203)</f>
        <v>74978.33</v>
      </c>
      <c r="H203" s="1" t="s">
        <v>277</v>
      </c>
      <c r="I203" s="4">
        <v>45211</v>
      </c>
      <c r="J203" s="1" t="s">
        <v>26</v>
      </c>
      <c r="L203" s="10" t="s">
        <v>10</v>
      </c>
    </row>
    <row r="204" spans="1:12" x14ac:dyDescent="0.2">
      <c r="A204" s="4">
        <v>45212</v>
      </c>
      <c r="B204" s="6" t="s">
        <v>281</v>
      </c>
      <c r="C204" s="1" t="s">
        <v>71</v>
      </c>
      <c r="D204" s="8">
        <v>130401</v>
      </c>
      <c r="E204" s="8">
        <v>0</v>
      </c>
      <c r="F204" s="8">
        <f>+D204*0.19</f>
        <v>24776.19</v>
      </c>
      <c r="G204" s="8">
        <f t="shared" si="27"/>
        <v>155177.19</v>
      </c>
      <c r="H204" s="1" t="s">
        <v>279</v>
      </c>
      <c r="I204" s="4">
        <v>45211</v>
      </c>
      <c r="J204" s="1" t="s">
        <v>26</v>
      </c>
      <c r="L204" s="10" t="s">
        <v>10</v>
      </c>
    </row>
    <row r="205" spans="1:12" x14ac:dyDescent="0.2">
      <c r="A205" s="4">
        <v>45213</v>
      </c>
      <c r="B205" s="6" t="s">
        <v>282</v>
      </c>
      <c r="C205" s="1" t="s">
        <v>65</v>
      </c>
      <c r="D205" s="8">
        <v>153785</v>
      </c>
      <c r="E205" s="8">
        <v>0</v>
      </c>
      <c r="F205" s="8">
        <f>+D205*0.19</f>
        <v>29219.15</v>
      </c>
      <c r="G205" s="8">
        <f t="shared" si="27"/>
        <v>183004.15</v>
      </c>
      <c r="H205" s="1" t="s">
        <v>283</v>
      </c>
      <c r="I205" s="4">
        <v>45216</v>
      </c>
      <c r="J205" s="1" t="s">
        <v>26</v>
      </c>
      <c r="L205" s="10" t="s">
        <v>10</v>
      </c>
    </row>
    <row r="206" spans="1:12" x14ac:dyDescent="0.2">
      <c r="A206" s="20">
        <v>45213</v>
      </c>
      <c r="B206" s="21" t="s">
        <v>284</v>
      </c>
      <c r="C206" s="22" t="s">
        <v>88</v>
      </c>
      <c r="D206" s="23">
        <v>0</v>
      </c>
      <c r="E206" s="23">
        <f>113.81*904.62</f>
        <v>102954.80220000001</v>
      </c>
      <c r="F206" s="23">
        <f>382.01*904.62</f>
        <v>345573.88620000001</v>
      </c>
      <c r="G206" s="23">
        <f t="shared" si="27"/>
        <v>448528.68839999998</v>
      </c>
      <c r="H206" s="22" t="s">
        <v>285</v>
      </c>
      <c r="I206" s="4">
        <v>45216</v>
      </c>
      <c r="J206" s="1" t="s">
        <v>26</v>
      </c>
      <c r="L206" s="10" t="s">
        <v>10</v>
      </c>
    </row>
    <row r="207" spans="1:12" x14ac:dyDescent="0.2">
      <c r="A207" s="4">
        <v>45215</v>
      </c>
      <c r="B207" s="6" t="s">
        <v>286</v>
      </c>
      <c r="C207" s="1" t="s">
        <v>57</v>
      </c>
      <c r="D207" s="8">
        <v>217593</v>
      </c>
      <c r="E207" s="8">
        <v>0</v>
      </c>
      <c r="F207" s="8">
        <f>+D207*0.19</f>
        <v>41342.67</v>
      </c>
      <c r="G207" s="8">
        <f t="shared" si="27"/>
        <v>258935.66999999998</v>
      </c>
      <c r="H207" s="1" t="s">
        <v>277</v>
      </c>
      <c r="I207" s="4">
        <v>45229</v>
      </c>
      <c r="J207" s="1" t="s">
        <v>26</v>
      </c>
      <c r="L207" s="10" t="s">
        <v>10</v>
      </c>
    </row>
    <row r="208" spans="1:12" x14ac:dyDescent="0.2">
      <c r="A208" s="4">
        <v>45215</v>
      </c>
      <c r="B208" s="6" t="s">
        <v>287</v>
      </c>
      <c r="C208" s="1" t="s">
        <v>57</v>
      </c>
      <c r="D208" s="8">
        <v>217590</v>
      </c>
      <c r="E208" s="8">
        <v>0</v>
      </c>
      <c r="F208" s="8">
        <f>+D208*0.19</f>
        <v>41342.1</v>
      </c>
      <c r="G208" s="8">
        <f t="shared" si="27"/>
        <v>258932.1</v>
      </c>
      <c r="H208" s="1" t="s">
        <v>279</v>
      </c>
      <c r="I208" s="4">
        <v>45229</v>
      </c>
      <c r="J208" s="1" t="s">
        <v>26</v>
      </c>
      <c r="L208" s="10" t="s">
        <v>10</v>
      </c>
    </row>
    <row r="209" spans="1:12" x14ac:dyDescent="0.2">
      <c r="A209" s="20">
        <v>45215</v>
      </c>
      <c r="B209" s="21" t="s">
        <v>288</v>
      </c>
      <c r="C209" s="22" t="s">
        <v>88</v>
      </c>
      <c r="D209" s="23">
        <v>0</v>
      </c>
      <c r="E209" s="23">
        <f>71.6*904.62</f>
        <v>64770.791999999994</v>
      </c>
      <c r="F209" s="23">
        <f>240.35*904.62</f>
        <v>217425.41699999999</v>
      </c>
      <c r="G209" s="23">
        <f t="shared" si="27"/>
        <v>282196.20899999997</v>
      </c>
      <c r="H209" s="22" t="s">
        <v>289</v>
      </c>
      <c r="I209" s="4">
        <v>45218</v>
      </c>
      <c r="J209" s="1" t="s">
        <v>26</v>
      </c>
      <c r="L209" s="10" t="s">
        <v>10</v>
      </c>
    </row>
    <row r="210" spans="1:12" x14ac:dyDescent="0.2">
      <c r="A210" s="4">
        <v>45216</v>
      </c>
      <c r="B210" s="6" t="s">
        <v>290</v>
      </c>
      <c r="C210" s="1" t="s">
        <v>61</v>
      </c>
      <c r="D210" s="8">
        <v>99508</v>
      </c>
      <c r="E210" s="8">
        <v>0</v>
      </c>
      <c r="F210" s="8">
        <f>+D210*0.19</f>
        <v>18906.52</v>
      </c>
      <c r="G210" s="8">
        <f t="shared" si="27"/>
        <v>118414.52</v>
      </c>
      <c r="H210" s="1" t="s">
        <v>289</v>
      </c>
      <c r="I210" s="4">
        <v>45218</v>
      </c>
      <c r="J210" s="1" t="s">
        <v>26</v>
      </c>
      <c r="L210" s="10" t="s">
        <v>10</v>
      </c>
    </row>
    <row r="211" spans="1:12" x14ac:dyDescent="0.2">
      <c r="A211" s="4">
        <v>45216</v>
      </c>
      <c r="B211" s="6" t="s">
        <v>291</v>
      </c>
      <c r="C211" s="1" t="s">
        <v>57</v>
      </c>
      <c r="D211" s="8">
        <v>217642</v>
      </c>
      <c r="E211" s="8">
        <v>0</v>
      </c>
      <c r="F211" s="8">
        <f>+D211*0.19</f>
        <v>41351.980000000003</v>
      </c>
      <c r="G211" s="8">
        <f t="shared" si="27"/>
        <v>258993.98</v>
      </c>
      <c r="H211" s="1" t="s">
        <v>283</v>
      </c>
      <c r="I211" s="4">
        <v>45233</v>
      </c>
      <c r="J211" s="1" t="s">
        <v>26</v>
      </c>
      <c r="L211" s="10" t="s">
        <v>10</v>
      </c>
    </row>
    <row r="212" spans="1:12" x14ac:dyDescent="0.2">
      <c r="A212" s="20">
        <v>45216</v>
      </c>
      <c r="B212" s="21" t="s">
        <v>292</v>
      </c>
      <c r="C212" s="22" t="s">
        <v>88</v>
      </c>
      <c r="D212" s="23">
        <v>0</v>
      </c>
      <c r="E212" s="23">
        <f>248.81*904.62</f>
        <v>225078.50220000002</v>
      </c>
      <c r="F212" s="23">
        <f>835.19*904.62</f>
        <v>755529.57780000009</v>
      </c>
      <c r="G212" s="23">
        <f t="shared" si="27"/>
        <v>980608.08000000007</v>
      </c>
      <c r="H212" s="22" t="s">
        <v>293</v>
      </c>
      <c r="I212" s="4">
        <v>45219</v>
      </c>
      <c r="J212" s="1" t="s">
        <v>59</v>
      </c>
      <c r="L212" s="10" t="s">
        <v>10</v>
      </c>
    </row>
    <row r="213" spans="1:12" x14ac:dyDescent="0.2">
      <c r="A213" s="4">
        <v>45217</v>
      </c>
      <c r="B213" s="6" t="s">
        <v>294</v>
      </c>
      <c r="C213" s="1" t="s">
        <v>133</v>
      </c>
      <c r="D213" s="8">
        <v>1554622</v>
      </c>
      <c r="E213" s="8">
        <v>0</v>
      </c>
      <c r="F213" s="8">
        <f t="shared" ref="F213:F218" si="28">+D213*0.19</f>
        <v>295378.18</v>
      </c>
      <c r="G213" s="8">
        <f t="shared" si="27"/>
        <v>1850000.18</v>
      </c>
      <c r="H213" s="1" t="s">
        <v>134</v>
      </c>
      <c r="I213" s="4">
        <v>45210</v>
      </c>
      <c r="J213" s="1" t="s">
        <v>26</v>
      </c>
      <c r="L213" s="10" t="s">
        <v>10</v>
      </c>
    </row>
    <row r="214" spans="1:12" x14ac:dyDescent="0.2">
      <c r="A214" s="4">
        <v>45219</v>
      </c>
      <c r="B214" s="6" t="s">
        <v>295</v>
      </c>
      <c r="C214" s="1" t="s">
        <v>57</v>
      </c>
      <c r="D214" s="8">
        <v>47023</v>
      </c>
      <c r="E214" s="8">
        <v>0</v>
      </c>
      <c r="F214" s="8">
        <f t="shared" si="28"/>
        <v>8934.3700000000008</v>
      </c>
      <c r="G214" s="8">
        <f t="shared" si="27"/>
        <v>55957.37</v>
      </c>
      <c r="H214" s="1" t="s">
        <v>293</v>
      </c>
      <c r="I214" s="4">
        <v>45219</v>
      </c>
      <c r="J214" s="1" t="s">
        <v>59</v>
      </c>
      <c r="L214" s="10" t="s">
        <v>10</v>
      </c>
    </row>
    <row r="215" spans="1:12" x14ac:dyDescent="0.2">
      <c r="A215" s="4">
        <v>45222</v>
      </c>
      <c r="B215" s="6" t="s">
        <v>296</v>
      </c>
      <c r="C215" s="1" t="s">
        <v>297</v>
      </c>
      <c r="D215" s="8">
        <v>288000</v>
      </c>
      <c r="E215" s="8">
        <v>0</v>
      </c>
      <c r="F215" s="8">
        <f t="shared" si="28"/>
        <v>54720</v>
      </c>
      <c r="G215" s="8">
        <f t="shared" si="27"/>
        <v>342720</v>
      </c>
      <c r="H215" s="1" t="s">
        <v>247</v>
      </c>
      <c r="I215" s="4">
        <v>45222</v>
      </c>
      <c r="J215" s="1" t="s">
        <v>26</v>
      </c>
      <c r="L215" s="10" t="s">
        <v>10</v>
      </c>
    </row>
    <row r="216" spans="1:12" x14ac:dyDescent="0.2">
      <c r="A216" s="4">
        <v>45223</v>
      </c>
      <c r="B216" s="6" t="s">
        <v>298</v>
      </c>
      <c r="C216" s="1" t="s">
        <v>71</v>
      </c>
      <c r="D216" s="8">
        <v>106021</v>
      </c>
      <c r="E216" s="8">
        <v>0</v>
      </c>
      <c r="F216" s="8">
        <f t="shared" si="28"/>
        <v>20143.990000000002</v>
      </c>
      <c r="G216" s="8">
        <f t="shared" si="27"/>
        <v>126164.99</v>
      </c>
      <c r="H216" s="1" t="s">
        <v>293</v>
      </c>
      <c r="I216" s="4">
        <v>45219</v>
      </c>
      <c r="J216" s="1" t="s">
        <v>59</v>
      </c>
      <c r="L216" s="10" t="s">
        <v>10</v>
      </c>
    </row>
    <row r="217" spans="1:12" x14ac:dyDescent="0.2">
      <c r="A217" s="4">
        <v>45223</v>
      </c>
      <c r="B217" s="6" t="s">
        <v>299</v>
      </c>
      <c r="C217" s="1" t="s">
        <v>65</v>
      </c>
      <c r="D217" s="8">
        <v>67847</v>
      </c>
      <c r="E217" s="8">
        <v>0</v>
      </c>
      <c r="F217" s="8">
        <f t="shared" si="28"/>
        <v>12890.93</v>
      </c>
      <c r="G217" s="8">
        <f t="shared" si="27"/>
        <v>80737.929999999993</v>
      </c>
      <c r="H217" s="1" t="s">
        <v>300</v>
      </c>
      <c r="I217" s="4">
        <v>45229</v>
      </c>
      <c r="J217" s="1" t="s">
        <v>26</v>
      </c>
      <c r="L217" s="10" t="s">
        <v>10</v>
      </c>
    </row>
    <row r="218" spans="1:12" x14ac:dyDescent="0.2">
      <c r="A218" s="4">
        <v>45223</v>
      </c>
      <c r="B218" s="6" t="s">
        <v>301</v>
      </c>
      <c r="C218" s="1" t="s">
        <v>302</v>
      </c>
      <c r="D218" s="8">
        <v>360144</v>
      </c>
      <c r="E218" s="8">
        <v>256800</v>
      </c>
      <c r="F218" s="8">
        <f t="shared" si="28"/>
        <v>68427.360000000001</v>
      </c>
      <c r="G218" s="8">
        <f t="shared" si="27"/>
        <v>685371.36</v>
      </c>
      <c r="H218" s="1" t="s">
        <v>303</v>
      </c>
      <c r="I218" s="4">
        <v>45210</v>
      </c>
      <c r="J218" s="1" t="s">
        <v>26</v>
      </c>
      <c r="L218" s="10" t="s">
        <v>10</v>
      </c>
    </row>
    <row r="219" spans="1:12" x14ac:dyDescent="0.2">
      <c r="A219" s="20">
        <v>45223</v>
      </c>
      <c r="B219" s="21" t="s">
        <v>304</v>
      </c>
      <c r="C219" s="22" t="s">
        <v>88</v>
      </c>
      <c r="D219" s="23">
        <v>0</v>
      </c>
      <c r="E219" s="23">
        <f>64.42*904.62</f>
        <v>58275.6204</v>
      </c>
      <c r="F219" s="23">
        <f>216.24*904.62</f>
        <v>195615.0288</v>
      </c>
      <c r="G219" s="23">
        <f t="shared" si="27"/>
        <v>253890.64919999999</v>
      </c>
      <c r="H219" s="22" t="s">
        <v>300</v>
      </c>
      <c r="I219" s="4">
        <v>45229</v>
      </c>
      <c r="J219" s="1" t="s">
        <v>26</v>
      </c>
      <c r="L219" s="10" t="s">
        <v>10</v>
      </c>
    </row>
    <row r="220" spans="1:12" x14ac:dyDescent="0.2">
      <c r="A220" s="4">
        <v>45229</v>
      </c>
      <c r="B220" s="6" t="s">
        <v>305</v>
      </c>
      <c r="C220" s="1" t="s">
        <v>57</v>
      </c>
      <c r="D220" s="8">
        <v>218279</v>
      </c>
      <c r="E220" s="8">
        <v>0</v>
      </c>
      <c r="F220" s="8">
        <f>+D220*0.19</f>
        <v>41473.01</v>
      </c>
      <c r="G220" s="8">
        <f t="shared" si="27"/>
        <v>259752.01</v>
      </c>
      <c r="H220" s="1" t="s">
        <v>289</v>
      </c>
      <c r="I220" s="4">
        <v>45233</v>
      </c>
      <c r="J220" s="1" t="s">
        <v>26</v>
      </c>
      <c r="L220" s="10" t="s">
        <v>10</v>
      </c>
    </row>
    <row r="221" spans="1:12" x14ac:dyDescent="0.2">
      <c r="A221" s="4">
        <v>45229</v>
      </c>
      <c r="B221" s="6" t="s">
        <v>306</v>
      </c>
      <c r="C221" s="1" t="s">
        <v>57</v>
      </c>
      <c r="D221" s="8">
        <v>218279</v>
      </c>
      <c r="E221" s="8">
        <v>0</v>
      </c>
      <c r="F221" s="8">
        <f>+D221*0.19</f>
        <v>41473.01</v>
      </c>
      <c r="G221" s="8">
        <f t="shared" si="27"/>
        <v>259752.01</v>
      </c>
      <c r="H221" s="1" t="s">
        <v>307</v>
      </c>
      <c r="I221" s="4">
        <v>45233</v>
      </c>
      <c r="J221" s="1" t="s">
        <v>26</v>
      </c>
      <c r="L221" s="10" t="s">
        <v>10</v>
      </c>
    </row>
    <row r="222" spans="1:12" x14ac:dyDescent="0.2">
      <c r="A222" s="4">
        <v>45229</v>
      </c>
      <c r="B222" s="9" t="s">
        <v>308</v>
      </c>
      <c r="C222" s="1" t="s">
        <v>51</v>
      </c>
      <c r="D222" s="8">
        <v>102125</v>
      </c>
      <c r="E222" s="8">
        <v>0</v>
      </c>
      <c r="F222" s="8">
        <f>+D222*0.19</f>
        <v>19403.75</v>
      </c>
      <c r="G222" s="8">
        <f t="shared" si="27"/>
        <v>121528.75</v>
      </c>
      <c r="H222" s="1" t="s">
        <v>52</v>
      </c>
      <c r="I222" s="4">
        <v>45229</v>
      </c>
      <c r="J222" s="1" t="s">
        <v>129</v>
      </c>
      <c r="L222" s="10" t="s">
        <v>10</v>
      </c>
    </row>
    <row r="223" spans="1:12" x14ac:dyDescent="0.2">
      <c r="A223" s="4">
        <v>45230</v>
      </c>
      <c r="B223" s="6" t="s">
        <v>309</v>
      </c>
      <c r="C223" s="1" t="s">
        <v>170</v>
      </c>
      <c r="D223" s="11">
        <v>150354</v>
      </c>
      <c r="E223" s="11">
        <v>0</v>
      </c>
      <c r="F223" s="11">
        <f>+D223*0.19</f>
        <v>28567.260000000002</v>
      </c>
      <c r="G223" s="11">
        <f t="shared" si="27"/>
        <v>178921.26</v>
      </c>
      <c r="H223" s="1" t="s">
        <v>293</v>
      </c>
      <c r="I223" s="4">
        <v>45219</v>
      </c>
      <c r="J223" s="1" t="s">
        <v>59</v>
      </c>
      <c r="L223" s="10" t="s">
        <v>10</v>
      </c>
    </row>
    <row r="224" spans="1:12" x14ac:dyDescent="0.2">
      <c r="D224" s="8">
        <f>SUM(D185:D223)</f>
        <v>63662064</v>
      </c>
      <c r="E224" s="8">
        <f t="shared" ref="E224:G224" si="29">SUM(E185:E223)</f>
        <v>2971049.5133999996</v>
      </c>
      <c r="F224" s="8">
        <f t="shared" si="29"/>
        <v>14144168.456999995</v>
      </c>
      <c r="G224" s="8">
        <f t="shared" si="29"/>
        <v>80777281.97040005</v>
      </c>
    </row>
    <row r="226" spans="1:12" x14ac:dyDescent="0.2">
      <c r="A226" s="4">
        <v>45232</v>
      </c>
      <c r="B226" s="6" t="s">
        <v>314</v>
      </c>
      <c r="C226" s="1" t="s">
        <v>24</v>
      </c>
      <c r="D226" s="8">
        <v>0</v>
      </c>
      <c r="E226" s="8">
        <v>809496</v>
      </c>
      <c r="F226" s="8">
        <f>+D226*0.19</f>
        <v>0</v>
      </c>
      <c r="G226" s="8">
        <f t="shared" ref="G226:G266" si="30">SUM(D226:F226)</f>
        <v>809496</v>
      </c>
      <c r="H226" s="1" t="s">
        <v>25</v>
      </c>
      <c r="I226" s="4">
        <v>45236</v>
      </c>
      <c r="J226" s="1" t="s">
        <v>26</v>
      </c>
      <c r="L226" s="10" t="s">
        <v>11</v>
      </c>
    </row>
    <row r="227" spans="1:12" x14ac:dyDescent="0.2">
      <c r="A227" s="20">
        <v>45232</v>
      </c>
      <c r="B227" s="21" t="s">
        <v>315</v>
      </c>
      <c r="C227" s="22" t="s">
        <v>88</v>
      </c>
      <c r="D227" s="23">
        <v>0</v>
      </c>
      <c r="E227" s="23">
        <f>68.33*928.41</f>
        <v>63438.255299999997</v>
      </c>
      <c r="F227" s="23">
        <f>229.36*928.41</f>
        <v>212940.1176</v>
      </c>
      <c r="G227" s="23">
        <f t="shared" si="30"/>
        <v>276378.37290000002</v>
      </c>
      <c r="H227" s="22" t="s">
        <v>313</v>
      </c>
      <c r="I227" s="4">
        <v>45236</v>
      </c>
      <c r="J227" s="1" t="s">
        <v>59</v>
      </c>
      <c r="L227" s="10" t="s">
        <v>11</v>
      </c>
    </row>
    <row r="228" spans="1:12" x14ac:dyDescent="0.2">
      <c r="A228" s="4">
        <v>45233</v>
      </c>
      <c r="B228" s="6" t="s">
        <v>317</v>
      </c>
      <c r="C228" s="1" t="s">
        <v>57</v>
      </c>
      <c r="D228" s="8">
        <v>218476</v>
      </c>
      <c r="E228" s="8">
        <v>0</v>
      </c>
      <c r="F228" s="8">
        <f>+D228*0.19</f>
        <v>41510.44</v>
      </c>
      <c r="G228" s="8">
        <f t="shared" si="30"/>
        <v>259986.44</v>
      </c>
      <c r="H228" s="1" t="s">
        <v>293</v>
      </c>
      <c r="I228" s="4">
        <v>45219</v>
      </c>
      <c r="J228" s="1" t="s">
        <v>59</v>
      </c>
      <c r="L228" s="10" t="s">
        <v>11</v>
      </c>
    </row>
    <row r="229" spans="1:12" x14ac:dyDescent="0.2">
      <c r="A229" s="4">
        <v>45233</v>
      </c>
      <c r="B229" s="6" t="s">
        <v>318</v>
      </c>
      <c r="C229" s="1" t="s">
        <v>65</v>
      </c>
      <c r="D229" s="8">
        <v>157830</v>
      </c>
      <c r="E229" s="8">
        <v>0</v>
      </c>
      <c r="F229" s="8">
        <f>+D229*0.19</f>
        <v>29987.7</v>
      </c>
      <c r="G229" s="8">
        <f t="shared" si="30"/>
        <v>187817.7</v>
      </c>
      <c r="H229" s="1" t="s">
        <v>319</v>
      </c>
      <c r="I229" s="4">
        <v>45236</v>
      </c>
      <c r="J229" s="1" t="s">
        <v>59</v>
      </c>
      <c r="L229" s="10" t="s">
        <v>11</v>
      </c>
    </row>
    <row r="230" spans="1:12" x14ac:dyDescent="0.2">
      <c r="A230" s="4">
        <v>45233</v>
      </c>
      <c r="B230" s="6" t="s">
        <v>316</v>
      </c>
      <c r="C230" s="1" t="s">
        <v>65</v>
      </c>
      <c r="D230" s="8">
        <v>157830</v>
      </c>
      <c r="E230" s="8">
        <v>0</v>
      </c>
      <c r="F230" s="8">
        <f>+D230*0.19</f>
        <v>29987.7</v>
      </c>
      <c r="G230" s="8">
        <f t="shared" si="30"/>
        <v>187817.7</v>
      </c>
      <c r="H230" s="1" t="s">
        <v>313</v>
      </c>
      <c r="I230" s="4">
        <v>45236</v>
      </c>
      <c r="J230" s="1" t="s">
        <v>59</v>
      </c>
      <c r="L230" s="10" t="s">
        <v>11</v>
      </c>
    </row>
    <row r="231" spans="1:12" x14ac:dyDescent="0.2">
      <c r="A231" s="20">
        <v>45233</v>
      </c>
      <c r="B231" s="21" t="s">
        <v>320</v>
      </c>
      <c r="C231" s="22" t="s">
        <v>88</v>
      </c>
      <c r="D231" s="23">
        <v>0</v>
      </c>
      <c r="E231" s="23">
        <f>107.86*928.41</f>
        <v>100138.3026</v>
      </c>
      <c r="F231" s="23">
        <f>362.06*928.41</f>
        <v>336140.12459999998</v>
      </c>
      <c r="G231" s="23">
        <f t="shared" si="30"/>
        <v>436278.42719999998</v>
      </c>
      <c r="H231" s="22" t="s">
        <v>319</v>
      </c>
      <c r="I231" s="4">
        <v>45236</v>
      </c>
      <c r="J231" s="1" t="s">
        <v>59</v>
      </c>
      <c r="L231" s="10" t="s">
        <v>11</v>
      </c>
    </row>
    <row r="232" spans="1:12" x14ac:dyDescent="0.2">
      <c r="A232" s="4">
        <v>45236</v>
      </c>
      <c r="B232" s="6" t="s">
        <v>322</v>
      </c>
      <c r="C232" s="1" t="s">
        <v>65</v>
      </c>
      <c r="D232" s="8">
        <v>111409</v>
      </c>
      <c r="E232" s="8">
        <v>0</v>
      </c>
      <c r="F232" s="8">
        <f t="shared" ref="F232:F252" si="31">+D232*0.19</f>
        <v>21167.71</v>
      </c>
      <c r="G232" s="8">
        <f t="shared" si="30"/>
        <v>132576.71</v>
      </c>
      <c r="H232" s="1" t="s">
        <v>323</v>
      </c>
      <c r="I232" s="4">
        <v>45233</v>
      </c>
      <c r="J232" s="1" t="s">
        <v>59</v>
      </c>
      <c r="L232" s="10" t="s">
        <v>11</v>
      </c>
    </row>
    <row r="233" spans="1:12" x14ac:dyDescent="0.2">
      <c r="A233" s="4">
        <v>45236</v>
      </c>
      <c r="B233" s="9" t="s">
        <v>324</v>
      </c>
      <c r="C233" s="1" t="s">
        <v>166</v>
      </c>
      <c r="D233" s="8">
        <v>35000</v>
      </c>
      <c r="E233" s="8">
        <v>0</v>
      </c>
      <c r="F233" s="8">
        <f t="shared" si="31"/>
        <v>6650</v>
      </c>
      <c r="G233" s="8">
        <f t="shared" si="30"/>
        <v>41650</v>
      </c>
      <c r="H233" s="1" t="s">
        <v>323</v>
      </c>
      <c r="I233" s="4">
        <v>45233</v>
      </c>
      <c r="J233" s="1" t="s">
        <v>59</v>
      </c>
      <c r="L233" s="10" t="s">
        <v>11</v>
      </c>
    </row>
    <row r="234" spans="1:12" x14ac:dyDescent="0.2">
      <c r="A234" s="4">
        <v>45236</v>
      </c>
      <c r="B234" s="6" t="s">
        <v>321</v>
      </c>
      <c r="C234" s="1" t="s">
        <v>57</v>
      </c>
      <c r="D234" s="8">
        <v>218623</v>
      </c>
      <c r="E234" s="8">
        <v>0</v>
      </c>
      <c r="F234" s="8">
        <f t="shared" si="31"/>
        <v>41538.370000000003</v>
      </c>
      <c r="G234" s="8">
        <f t="shared" si="30"/>
        <v>260161.37</v>
      </c>
      <c r="H234" s="1" t="s">
        <v>300</v>
      </c>
      <c r="I234" s="4">
        <v>45239</v>
      </c>
      <c r="J234" s="1" t="s">
        <v>26</v>
      </c>
      <c r="L234" s="10" t="s">
        <v>11</v>
      </c>
    </row>
    <row r="235" spans="1:12" x14ac:dyDescent="0.2">
      <c r="A235" s="4">
        <v>45236</v>
      </c>
      <c r="B235" s="6" t="s">
        <v>325</v>
      </c>
      <c r="C235" s="1" t="s">
        <v>65</v>
      </c>
      <c r="D235" s="8">
        <v>144516</v>
      </c>
      <c r="E235" s="8">
        <v>0</v>
      </c>
      <c r="F235" s="8">
        <f t="shared" si="31"/>
        <v>27458.04</v>
      </c>
      <c r="G235" s="8">
        <f t="shared" si="30"/>
        <v>171974.04</v>
      </c>
      <c r="H235" s="1" t="s">
        <v>326</v>
      </c>
      <c r="I235" s="4">
        <v>45236</v>
      </c>
      <c r="J235" s="1" t="s">
        <v>59</v>
      </c>
      <c r="L235" s="10" t="s">
        <v>11</v>
      </c>
    </row>
    <row r="236" spans="1:12" x14ac:dyDescent="0.2">
      <c r="A236" s="4">
        <v>45236</v>
      </c>
      <c r="B236" s="6" t="s">
        <v>327</v>
      </c>
      <c r="C236" s="1" t="s">
        <v>166</v>
      </c>
      <c r="D236" s="8">
        <v>41000</v>
      </c>
      <c r="E236" s="8">
        <v>0</v>
      </c>
      <c r="F236" s="8">
        <f t="shared" si="31"/>
        <v>7790</v>
      </c>
      <c r="G236" s="8">
        <f t="shared" si="30"/>
        <v>48790</v>
      </c>
      <c r="H236" s="1" t="s">
        <v>326</v>
      </c>
      <c r="I236" s="4">
        <v>45236</v>
      </c>
      <c r="J236" s="1" t="s">
        <v>59</v>
      </c>
      <c r="L236" s="10" t="s">
        <v>11</v>
      </c>
    </row>
    <row r="237" spans="1:12" x14ac:dyDescent="0.2">
      <c r="A237" s="4">
        <v>45237</v>
      </c>
      <c r="B237" s="6" t="s">
        <v>328</v>
      </c>
      <c r="C237" s="1" t="s">
        <v>57</v>
      </c>
      <c r="D237" s="8">
        <v>43989</v>
      </c>
      <c r="E237" s="8">
        <v>0</v>
      </c>
      <c r="F237" s="8">
        <f t="shared" si="31"/>
        <v>8357.91</v>
      </c>
      <c r="G237" s="8">
        <f t="shared" si="30"/>
        <v>52346.91</v>
      </c>
      <c r="H237" s="1" t="s">
        <v>323</v>
      </c>
      <c r="I237" s="4">
        <v>45233</v>
      </c>
      <c r="J237" s="1" t="s">
        <v>59</v>
      </c>
      <c r="L237" s="10" t="s">
        <v>11</v>
      </c>
    </row>
    <row r="238" spans="1:12" x14ac:dyDescent="0.2">
      <c r="A238" s="4">
        <v>45237</v>
      </c>
      <c r="B238" s="6" t="s">
        <v>329</v>
      </c>
      <c r="C238" s="1" t="s">
        <v>57</v>
      </c>
      <c r="D238" s="8">
        <v>43989</v>
      </c>
      <c r="E238" s="8">
        <v>0</v>
      </c>
      <c r="F238" s="8">
        <f t="shared" si="31"/>
        <v>8357.91</v>
      </c>
      <c r="G238" s="8">
        <f t="shared" si="30"/>
        <v>52346.91</v>
      </c>
      <c r="H238" s="1" t="s">
        <v>326</v>
      </c>
      <c r="I238" s="4">
        <v>45236</v>
      </c>
      <c r="J238" s="1" t="s">
        <v>59</v>
      </c>
      <c r="L238" s="10" t="s">
        <v>11</v>
      </c>
    </row>
    <row r="239" spans="1:12" x14ac:dyDescent="0.2">
      <c r="A239" s="15">
        <v>45237</v>
      </c>
      <c r="B239" s="34" t="s">
        <v>406</v>
      </c>
      <c r="C239" s="16" t="s">
        <v>333</v>
      </c>
      <c r="D239" s="17">
        <v>597008</v>
      </c>
      <c r="E239" s="17">
        <v>0</v>
      </c>
      <c r="F239" s="17">
        <f t="shared" si="31"/>
        <v>113431.52</v>
      </c>
      <c r="G239" s="17">
        <f t="shared" si="30"/>
        <v>710439.52</v>
      </c>
      <c r="H239" s="16" t="s">
        <v>247</v>
      </c>
      <c r="I239" s="15">
        <v>45237</v>
      </c>
      <c r="J239" s="16" t="s">
        <v>407</v>
      </c>
      <c r="L239" s="10" t="s">
        <v>11</v>
      </c>
    </row>
    <row r="240" spans="1:12" x14ac:dyDescent="0.2">
      <c r="A240" s="4">
        <v>45237</v>
      </c>
      <c r="B240" s="6" t="s">
        <v>409</v>
      </c>
      <c r="C240" s="1" t="s">
        <v>302</v>
      </c>
      <c r="D240" s="8">
        <v>361362</v>
      </c>
      <c r="E240" s="8">
        <v>257667</v>
      </c>
      <c r="F240" s="8">
        <f t="shared" si="31"/>
        <v>68658.78</v>
      </c>
      <c r="G240" s="8">
        <f t="shared" si="30"/>
        <v>687687.78</v>
      </c>
      <c r="H240" s="1" t="s">
        <v>303</v>
      </c>
      <c r="I240" s="4">
        <v>45229</v>
      </c>
      <c r="J240" s="1" t="s">
        <v>26</v>
      </c>
      <c r="L240" s="10" t="s">
        <v>11</v>
      </c>
    </row>
    <row r="241" spans="1:12" ht="12" customHeight="1" x14ac:dyDescent="0.2">
      <c r="A241" s="4">
        <v>45238</v>
      </c>
      <c r="B241" s="6" t="s">
        <v>330</v>
      </c>
      <c r="C241" s="1" t="s">
        <v>133</v>
      </c>
      <c r="D241" s="8">
        <v>67227</v>
      </c>
      <c r="E241" s="8">
        <v>0</v>
      </c>
      <c r="F241" s="8">
        <f t="shared" si="31"/>
        <v>12773.130000000001</v>
      </c>
      <c r="G241" s="8">
        <f t="shared" si="30"/>
        <v>80000.13</v>
      </c>
      <c r="H241" s="1" t="s">
        <v>331</v>
      </c>
      <c r="I241" s="4">
        <v>45239</v>
      </c>
      <c r="J241" s="1" t="s">
        <v>26</v>
      </c>
      <c r="L241" s="10" t="s">
        <v>11</v>
      </c>
    </row>
    <row r="242" spans="1:12" x14ac:dyDescent="0.2">
      <c r="A242" s="32">
        <v>45239</v>
      </c>
      <c r="B242" s="39" t="s">
        <v>408</v>
      </c>
      <c r="C242" s="30" t="s">
        <v>333</v>
      </c>
      <c r="D242" s="29">
        <v>33294</v>
      </c>
      <c r="E242" s="29">
        <v>0</v>
      </c>
      <c r="F242" s="29">
        <f t="shared" si="31"/>
        <v>6325.86</v>
      </c>
      <c r="G242" s="29">
        <f t="shared" si="30"/>
        <v>39619.86</v>
      </c>
      <c r="H242" s="30" t="s">
        <v>247</v>
      </c>
      <c r="I242" s="15">
        <v>45239</v>
      </c>
      <c r="J242" s="16" t="s">
        <v>407</v>
      </c>
      <c r="L242" s="10" t="s">
        <v>11</v>
      </c>
    </row>
    <row r="243" spans="1:12" x14ac:dyDescent="0.2">
      <c r="A243" s="4">
        <v>45239</v>
      </c>
      <c r="B243" s="6" t="s">
        <v>410</v>
      </c>
      <c r="C243" s="1" t="s">
        <v>51</v>
      </c>
      <c r="D243" s="8">
        <v>91011</v>
      </c>
      <c r="E243" s="8">
        <v>0</v>
      </c>
      <c r="F243" s="8">
        <f t="shared" si="31"/>
        <v>17292.09</v>
      </c>
      <c r="G243" s="8">
        <f t="shared" si="30"/>
        <v>108303.09</v>
      </c>
      <c r="H243" s="1" t="s">
        <v>52</v>
      </c>
      <c r="I243" s="4">
        <v>45239</v>
      </c>
      <c r="J243" s="1" t="s">
        <v>411</v>
      </c>
      <c r="L243" s="10" t="s">
        <v>11</v>
      </c>
    </row>
    <row r="244" spans="1:12" x14ac:dyDescent="0.2">
      <c r="A244" s="4">
        <v>45240</v>
      </c>
      <c r="B244" s="9" t="s">
        <v>332</v>
      </c>
      <c r="C244" s="1" t="s">
        <v>333</v>
      </c>
      <c r="D244" s="8">
        <v>1082762</v>
      </c>
      <c r="E244" s="8">
        <v>0</v>
      </c>
      <c r="F244" s="8">
        <f t="shared" si="31"/>
        <v>205724.78</v>
      </c>
      <c r="G244" s="8">
        <f t="shared" si="30"/>
        <v>1288486.78</v>
      </c>
      <c r="H244" s="1" t="s">
        <v>247</v>
      </c>
      <c r="I244" s="4">
        <v>45240</v>
      </c>
      <c r="J244" s="1" t="s">
        <v>26</v>
      </c>
      <c r="L244" s="10" t="s">
        <v>11</v>
      </c>
    </row>
    <row r="245" spans="1:12" x14ac:dyDescent="0.2">
      <c r="A245" s="32">
        <v>45242</v>
      </c>
      <c r="B245" s="38" t="s">
        <v>412</v>
      </c>
      <c r="C245" s="30" t="s">
        <v>413</v>
      </c>
      <c r="D245" s="29">
        <v>69982</v>
      </c>
      <c r="E245" s="29">
        <v>0</v>
      </c>
      <c r="F245" s="29">
        <f t="shared" si="31"/>
        <v>13296.58</v>
      </c>
      <c r="G245" s="29">
        <f t="shared" si="30"/>
        <v>83278.58</v>
      </c>
      <c r="H245" s="30" t="s">
        <v>414</v>
      </c>
      <c r="I245" s="15">
        <v>45242</v>
      </c>
      <c r="J245" s="16" t="s">
        <v>407</v>
      </c>
      <c r="L245" s="10" t="s">
        <v>11</v>
      </c>
    </row>
    <row r="246" spans="1:12" x14ac:dyDescent="0.2">
      <c r="A246" s="4">
        <v>45244</v>
      </c>
      <c r="B246" s="6" t="s">
        <v>334</v>
      </c>
      <c r="C246" s="1" t="s">
        <v>335</v>
      </c>
      <c r="D246" s="8">
        <v>189346</v>
      </c>
      <c r="E246" s="8">
        <v>0</v>
      </c>
      <c r="F246" s="8">
        <f t="shared" si="31"/>
        <v>35975.74</v>
      </c>
      <c r="G246" s="8">
        <f t="shared" si="30"/>
        <v>225321.74</v>
      </c>
      <c r="H246" s="1" t="s">
        <v>247</v>
      </c>
      <c r="I246" s="4">
        <v>45245</v>
      </c>
      <c r="J246" s="1" t="s">
        <v>26</v>
      </c>
      <c r="L246" s="10" t="s">
        <v>11</v>
      </c>
    </row>
    <row r="247" spans="1:12" x14ac:dyDescent="0.2">
      <c r="A247" s="4">
        <v>45244</v>
      </c>
      <c r="B247" s="6" t="s">
        <v>336</v>
      </c>
      <c r="C247" s="1" t="s">
        <v>170</v>
      </c>
      <c r="D247" s="8">
        <v>153209</v>
      </c>
      <c r="E247" s="8">
        <v>0</v>
      </c>
      <c r="F247" s="8">
        <f t="shared" si="31"/>
        <v>29109.71</v>
      </c>
      <c r="G247" s="8">
        <f t="shared" si="30"/>
        <v>182318.71</v>
      </c>
      <c r="H247" s="1" t="s">
        <v>323</v>
      </c>
      <c r="I247" s="4">
        <v>45233</v>
      </c>
      <c r="J247" s="1" t="s">
        <v>59</v>
      </c>
      <c r="L247" s="10" t="s">
        <v>11</v>
      </c>
    </row>
    <row r="248" spans="1:12" x14ac:dyDescent="0.2">
      <c r="A248" s="4">
        <v>45244</v>
      </c>
      <c r="B248" s="6" t="s">
        <v>337</v>
      </c>
      <c r="C248" s="1" t="s">
        <v>170</v>
      </c>
      <c r="D248" s="8">
        <v>153209</v>
      </c>
      <c r="E248" s="8">
        <v>0</v>
      </c>
      <c r="F248" s="8">
        <f t="shared" si="31"/>
        <v>29109.71</v>
      </c>
      <c r="G248" s="8">
        <f t="shared" si="30"/>
        <v>182318.71</v>
      </c>
      <c r="H248" s="1" t="s">
        <v>326</v>
      </c>
      <c r="I248" s="4">
        <v>45236</v>
      </c>
      <c r="J248" s="1" t="s">
        <v>59</v>
      </c>
      <c r="L248" s="10" t="s">
        <v>11</v>
      </c>
    </row>
    <row r="249" spans="1:12" x14ac:dyDescent="0.2">
      <c r="A249" s="32">
        <v>45244</v>
      </c>
      <c r="B249" s="38" t="s">
        <v>415</v>
      </c>
      <c r="C249" s="30" t="s">
        <v>413</v>
      </c>
      <c r="D249" s="29">
        <v>82271</v>
      </c>
      <c r="E249" s="29">
        <v>0</v>
      </c>
      <c r="F249" s="29">
        <f t="shared" si="31"/>
        <v>15631.49</v>
      </c>
      <c r="G249" s="29">
        <f t="shared" si="30"/>
        <v>97902.49</v>
      </c>
      <c r="H249" s="30" t="s">
        <v>414</v>
      </c>
      <c r="I249" s="15">
        <v>45244</v>
      </c>
      <c r="J249" s="16" t="s">
        <v>407</v>
      </c>
      <c r="L249" s="10" t="s">
        <v>11</v>
      </c>
    </row>
    <row r="250" spans="1:12" x14ac:dyDescent="0.2">
      <c r="A250" s="32">
        <v>45246</v>
      </c>
      <c r="B250" s="38" t="s">
        <v>416</v>
      </c>
      <c r="C250" s="30" t="s">
        <v>417</v>
      </c>
      <c r="D250" s="29">
        <v>92429</v>
      </c>
      <c r="E250" s="29">
        <v>0</v>
      </c>
      <c r="F250" s="29">
        <f t="shared" si="31"/>
        <v>17561.509999999998</v>
      </c>
      <c r="G250" s="29">
        <f t="shared" si="30"/>
        <v>109990.51</v>
      </c>
      <c r="H250" s="30" t="s">
        <v>247</v>
      </c>
      <c r="I250" s="15">
        <v>45246</v>
      </c>
      <c r="J250" s="16" t="s">
        <v>407</v>
      </c>
      <c r="L250" s="10" t="s">
        <v>11</v>
      </c>
    </row>
    <row r="251" spans="1:12" x14ac:dyDescent="0.2">
      <c r="A251" s="4">
        <v>45246</v>
      </c>
      <c r="B251" s="9" t="s">
        <v>418</v>
      </c>
      <c r="C251" s="1" t="s">
        <v>51</v>
      </c>
      <c r="D251" s="8">
        <v>97920</v>
      </c>
      <c r="E251" s="8">
        <v>0</v>
      </c>
      <c r="F251" s="8">
        <f t="shared" si="31"/>
        <v>18604.8</v>
      </c>
      <c r="G251" s="8">
        <f t="shared" si="30"/>
        <v>116524.8</v>
      </c>
      <c r="H251" s="1" t="s">
        <v>52</v>
      </c>
      <c r="I251" s="4">
        <v>45246</v>
      </c>
      <c r="J251" s="1" t="s">
        <v>411</v>
      </c>
      <c r="L251" s="10" t="s">
        <v>11</v>
      </c>
    </row>
    <row r="252" spans="1:12" x14ac:dyDescent="0.2">
      <c r="A252" s="32">
        <v>45247</v>
      </c>
      <c r="B252" s="38" t="s">
        <v>419</v>
      </c>
      <c r="C252" s="30" t="s">
        <v>413</v>
      </c>
      <c r="D252" s="29">
        <v>69080</v>
      </c>
      <c r="E252" s="29">
        <v>0</v>
      </c>
      <c r="F252" s="29">
        <f t="shared" si="31"/>
        <v>13125.2</v>
      </c>
      <c r="G252" s="29">
        <f t="shared" si="30"/>
        <v>82205.2</v>
      </c>
      <c r="H252" s="30" t="s">
        <v>414</v>
      </c>
      <c r="I252" s="15">
        <v>45247</v>
      </c>
      <c r="J252" s="16" t="s">
        <v>407</v>
      </c>
      <c r="L252" s="10" t="s">
        <v>11</v>
      </c>
    </row>
    <row r="253" spans="1:12" x14ac:dyDescent="0.2">
      <c r="A253" s="20">
        <v>45248</v>
      </c>
      <c r="B253" s="21" t="s">
        <v>338</v>
      </c>
      <c r="C253" s="22" t="s">
        <v>88</v>
      </c>
      <c r="D253" s="23">
        <v>0</v>
      </c>
      <c r="E253" s="23">
        <f>314.69*928.41</f>
        <v>292161.34289999999</v>
      </c>
      <c r="F253" s="23">
        <f>1056.3*928.41</f>
        <v>980679.48299999989</v>
      </c>
      <c r="G253" s="23">
        <f t="shared" si="30"/>
        <v>1272840.8258999998</v>
      </c>
      <c r="H253" s="22" t="s">
        <v>323</v>
      </c>
      <c r="I253" s="4">
        <v>45233</v>
      </c>
      <c r="J253" s="1" t="s">
        <v>59</v>
      </c>
      <c r="L253" s="10" t="s">
        <v>11</v>
      </c>
    </row>
    <row r="254" spans="1:12" x14ac:dyDescent="0.2">
      <c r="A254" s="20">
        <v>45250</v>
      </c>
      <c r="B254" s="21" t="s">
        <v>341</v>
      </c>
      <c r="C254" s="22" t="s">
        <v>88</v>
      </c>
      <c r="D254" s="23">
        <v>0</v>
      </c>
      <c r="E254" s="23">
        <f>337.37*928.41</f>
        <v>313217.68170000002</v>
      </c>
      <c r="F254" s="23">
        <f>1132.43*928.41</f>
        <v>1051359.3363000001</v>
      </c>
      <c r="G254" s="23">
        <f t="shared" si="30"/>
        <v>1364577.0180000002</v>
      </c>
      <c r="H254" s="22" t="s">
        <v>326</v>
      </c>
      <c r="I254" s="4">
        <v>45236</v>
      </c>
      <c r="J254" s="1" t="s">
        <v>59</v>
      </c>
      <c r="L254" s="10" t="s">
        <v>11</v>
      </c>
    </row>
    <row r="255" spans="1:12" x14ac:dyDescent="0.2">
      <c r="A255" s="20">
        <v>45250</v>
      </c>
      <c r="B255" s="21" t="s">
        <v>339</v>
      </c>
      <c r="C255" s="22" t="s">
        <v>88</v>
      </c>
      <c r="D255" s="23">
        <v>0</v>
      </c>
      <c r="E255" s="23">
        <f>98.16*928.41</f>
        <v>91132.725599999991</v>
      </c>
      <c r="F255" s="23">
        <f>329.48*928.41</f>
        <v>305892.52679999999</v>
      </c>
      <c r="G255" s="23">
        <f t="shared" si="30"/>
        <v>397025.2524</v>
      </c>
      <c r="H255" s="22" t="s">
        <v>340</v>
      </c>
      <c r="I255" s="4">
        <v>45251</v>
      </c>
      <c r="J255" s="1" t="s">
        <v>59</v>
      </c>
      <c r="L255" s="10" t="s">
        <v>11</v>
      </c>
    </row>
    <row r="256" spans="1:12" x14ac:dyDescent="0.2">
      <c r="A256" s="4">
        <v>45251</v>
      </c>
      <c r="B256" s="6" t="s">
        <v>343</v>
      </c>
      <c r="C256" s="1" t="s">
        <v>57</v>
      </c>
      <c r="D256" s="8">
        <v>219121</v>
      </c>
      <c r="E256" s="8">
        <v>0</v>
      </c>
      <c r="F256" s="8">
        <f t="shared" ref="F256:F266" si="32">+D256*0.19</f>
        <v>41632.99</v>
      </c>
      <c r="G256" s="8">
        <f t="shared" si="30"/>
        <v>260753.99</v>
      </c>
      <c r="H256" s="1" t="s">
        <v>326</v>
      </c>
      <c r="I256" s="4">
        <v>45236</v>
      </c>
      <c r="J256" s="1" t="s">
        <v>59</v>
      </c>
      <c r="L256" s="10" t="s">
        <v>11</v>
      </c>
    </row>
    <row r="257" spans="1:12" x14ac:dyDescent="0.2">
      <c r="A257" s="4">
        <v>45251</v>
      </c>
      <c r="B257" s="6" t="s">
        <v>342</v>
      </c>
      <c r="C257" s="1" t="s">
        <v>57</v>
      </c>
      <c r="D257" s="8">
        <v>219121</v>
      </c>
      <c r="E257" s="8">
        <v>0</v>
      </c>
      <c r="F257" s="8">
        <f t="shared" si="32"/>
        <v>41632.99</v>
      </c>
      <c r="G257" s="8">
        <f t="shared" si="30"/>
        <v>260753.99</v>
      </c>
      <c r="H257" s="1" t="s">
        <v>323</v>
      </c>
      <c r="I257" s="4">
        <v>45233</v>
      </c>
      <c r="J257" s="1" t="s">
        <v>59</v>
      </c>
      <c r="L257" s="10" t="s">
        <v>11</v>
      </c>
    </row>
    <row r="258" spans="1:12" x14ac:dyDescent="0.2">
      <c r="A258" s="4">
        <v>45251</v>
      </c>
      <c r="B258" s="9" t="s">
        <v>344</v>
      </c>
      <c r="C258" s="1" t="s">
        <v>333</v>
      </c>
      <c r="D258" s="8">
        <v>35737</v>
      </c>
      <c r="E258" s="8">
        <v>0</v>
      </c>
      <c r="F258" s="8">
        <f t="shared" si="32"/>
        <v>6790.03</v>
      </c>
      <c r="G258" s="8">
        <f t="shared" si="30"/>
        <v>42527.03</v>
      </c>
      <c r="H258" s="1" t="s">
        <v>247</v>
      </c>
      <c r="I258" s="4">
        <v>45251</v>
      </c>
      <c r="J258" s="1" t="s">
        <v>26</v>
      </c>
      <c r="L258" s="10" t="s">
        <v>11</v>
      </c>
    </row>
    <row r="259" spans="1:12" x14ac:dyDescent="0.2">
      <c r="A259" s="32">
        <v>45251</v>
      </c>
      <c r="B259" s="38" t="s">
        <v>420</v>
      </c>
      <c r="C259" s="30" t="s">
        <v>413</v>
      </c>
      <c r="D259" s="29">
        <v>104718</v>
      </c>
      <c r="E259" s="29">
        <v>0</v>
      </c>
      <c r="F259" s="29">
        <f t="shared" si="32"/>
        <v>19896.420000000002</v>
      </c>
      <c r="G259" s="29">
        <f t="shared" si="30"/>
        <v>124614.42</v>
      </c>
      <c r="H259" s="30" t="s">
        <v>414</v>
      </c>
      <c r="I259" s="15">
        <v>45251</v>
      </c>
      <c r="J259" s="16" t="s">
        <v>407</v>
      </c>
      <c r="L259" s="10" t="s">
        <v>11</v>
      </c>
    </row>
    <row r="260" spans="1:12" x14ac:dyDescent="0.2">
      <c r="A260" s="4">
        <v>45252</v>
      </c>
      <c r="B260" s="6" t="s">
        <v>345</v>
      </c>
      <c r="C260" s="1" t="s">
        <v>71</v>
      </c>
      <c r="D260" s="8">
        <v>133830</v>
      </c>
      <c r="E260" s="8">
        <v>0</v>
      </c>
      <c r="F260" s="8">
        <f t="shared" si="32"/>
        <v>25427.7</v>
      </c>
      <c r="G260" s="8">
        <f t="shared" si="30"/>
        <v>159257.70000000001</v>
      </c>
      <c r="H260" s="1" t="s">
        <v>340</v>
      </c>
      <c r="I260" s="4">
        <v>45251</v>
      </c>
      <c r="J260" s="1" t="s">
        <v>59</v>
      </c>
      <c r="L260" s="10" t="s">
        <v>11</v>
      </c>
    </row>
    <row r="261" spans="1:12" x14ac:dyDescent="0.2">
      <c r="A261" s="4">
        <v>45253</v>
      </c>
      <c r="B261" s="6" t="s">
        <v>352</v>
      </c>
      <c r="C261" s="1" t="s">
        <v>57</v>
      </c>
      <c r="D261" s="8">
        <v>219179</v>
      </c>
      <c r="E261" s="8">
        <v>0</v>
      </c>
      <c r="F261" s="8">
        <f t="shared" si="32"/>
        <v>41644.01</v>
      </c>
      <c r="G261" s="8">
        <f t="shared" si="30"/>
        <v>260823.01</v>
      </c>
      <c r="H261" s="1" t="s">
        <v>319</v>
      </c>
      <c r="I261" s="32">
        <v>45260</v>
      </c>
      <c r="J261" s="30" t="s">
        <v>26</v>
      </c>
      <c r="L261" s="10" t="s">
        <v>11</v>
      </c>
    </row>
    <row r="262" spans="1:12" x14ac:dyDescent="0.2">
      <c r="A262" s="4">
        <v>45253</v>
      </c>
      <c r="B262" s="6" t="s">
        <v>351</v>
      </c>
      <c r="C262" s="1" t="s">
        <v>57</v>
      </c>
      <c r="D262" s="8">
        <v>219179</v>
      </c>
      <c r="E262" s="8">
        <v>0</v>
      </c>
      <c r="F262" s="8">
        <f t="shared" si="32"/>
        <v>41644.01</v>
      </c>
      <c r="G262" s="8">
        <f t="shared" si="30"/>
        <v>260823.01</v>
      </c>
      <c r="H262" s="1" t="s">
        <v>313</v>
      </c>
      <c r="I262" s="4">
        <v>45260</v>
      </c>
      <c r="J262" s="1" t="s">
        <v>26</v>
      </c>
      <c r="L262" s="10" t="s">
        <v>11</v>
      </c>
    </row>
    <row r="263" spans="1:12" x14ac:dyDescent="0.2">
      <c r="A263" s="4">
        <v>45253</v>
      </c>
      <c r="B263" s="6" t="s">
        <v>350</v>
      </c>
      <c r="C263" s="1" t="s">
        <v>57</v>
      </c>
      <c r="D263" s="8">
        <v>219179</v>
      </c>
      <c r="E263" s="8">
        <v>0</v>
      </c>
      <c r="F263" s="8">
        <f t="shared" si="32"/>
        <v>41644.01</v>
      </c>
      <c r="G263" s="8">
        <f t="shared" si="30"/>
        <v>260823.01</v>
      </c>
      <c r="H263" s="1" t="s">
        <v>340</v>
      </c>
      <c r="I263" s="4">
        <v>45260</v>
      </c>
      <c r="J263" s="1" t="s">
        <v>26</v>
      </c>
      <c r="L263" s="10" t="s">
        <v>11</v>
      </c>
    </row>
    <row r="264" spans="1:12" x14ac:dyDescent="0.2">
      <c r="A264" s="4">
        <v>45253</v>
      </c>
      <c r="B264" s="9" t="s">
        <v>421</v>
      </c>
      <c r="C264" s="1" t="s">
        <v>302</v>
      </c>
      <c r="D264" s="8">
        <v>365613</v>
      </c>
      <c r="E264" s="8">
        <v>258072</v>
      </c>
      <c r="F264" s="8">
        <f t="shared" si="32"/>
        <v>69466.47</v>
      </c>
      <c r="G264" s="8">
        <f t="shared" si="30"/>
        <v>693151.47</v>
      </c>
      <c r="H264" s="1" t="s">
        <v>303</v>
      </c>
      <c r="I264" s="4">
        <v>45251</v>
      </c>
      <c r="J264" s="1" t="s">
        <v>26</v>
      </c>
      <c r="L264" s="10" t="s">
        <v>11</v>
      </c>
    </row>
    <row r="265" spans="1:12" x14ac:dyDescent="0.2">
      <c r="A265" s="15">
        <v>45254</v>
      </c>
      <c r="B265" s="18" t="s">
        <v>422</v>
      </c>
      <c r="C265" s="16" t="s">
        <v>413</v>
      </c>
      <c r="D265" s="17">
        <v>67036</v>
      </c>
      <c r="E265" s="17">
        <v>0</v>
      </c>
      <c r="F265" s="17">
        <f t="shared" si="32"/>
        <v>12736.84</v>
      </c>
      <c r="G265" s="17">
        <f t="shared" si="30"/>
        <v>79772.84</v>
      </c>
      <c r="H265" s="16" t="s">
        <v>414</v>
      </c>
      <c r="I265" s="15">
        <v>45254</v>
      </c>
      <c r="J265" s="16" t="s">
        <v>407</v>
      </c>
      <c r="L265" s="10" t="s">
        <v>11</v>
      </c>
    </row>
    <row r="266" spans="1:12" x14ac:dyDescent="0.2">
      <c r="A266" s="35">
        <v>45257</v>
      </c>
      <c r="B266" s="36" t="s">
        <v>423</v>
      </c>
      <c r="C266" s="37" t="s">
        <v>413</v>
      </c>
      <c r="D266" s="28">
        <v>83464</v>
      </c>
      <c r="E266" s="28">
        <v>0</v>
      </c>
      <c r="F266" s="28">
        <f t="shared" si="32"/>
        <v>15858.16</v>
      </c>
      <c r="G266" s="28">
        <f t="shared" si="30"/>
        <v>99322.16</v>
      </c>
      <c r="H266" s="37" t="s">
        <v>414</v>
      </c>
      <c r="I266" s="35">
        <v>45257</v>
      </c>
      <c r="J266" s="37" t="s">
        <v>407</v>
      </c>
      <c r="L266" s="10" t="s">
        <v>11</v>
      </c>
    </row>
    <row r="267" spans="1:12" x14ac:dyDescent="0.2">
      <c r="D267" s="8">
        <f>SUM(D226:D266)</f>
        <v>6198949</v>
      </c>
      <c r="E267" s="8">
        <f t="shared" ref="E267:G267" si="33">SUM(E226:E266)</f>
        <v>2185323.3081</v>
      </c>
      <c r="F267" s="8">
        <f t="shared" si="33"/>
        <v>4064811.8983</v>
      </c>
      <c r="G267" s="8">
        <f t="shared" si="33"/>
        <v>12449084.2064</v>
      </c>
    </row>
    <row r="278" spans="1:10" x14ac:dyDescent="0.2">
      <c r="A278" s="20">
        <v>45217</v>
      </c>
      <c r="B278" s="21" t="s">
        <v>310</v>
      </c>
      <c r="C278" s="22" t="s">
        <v>88</v>
      </c>
      <c r="D278" s="23">
        <v>0</v>
      </c>
      <c r="E278" s="23">
        <f>57.15*904.62</f>
        <v>51699.032999999996</v>
      </c>
      <c r="F278" s="23">
        <f>191.84*904.62</f>
        <v>173542.3008</v>
      </c>
      <c r="G278" s="23">
        <f t="shared" ref="G278:G282" si="34">SUM(D278:F278)</f>
        <v>225241.33379999999</v>
      </c>
      <c r="H278" s="22" t="s">
        <v>311</v>
      </c>
      <c r="I278" s="4">
        <v>45219</v>
      </c>
      <c r="J278" s="1" t="s">
        <v>26</v>
      </c>
    </row>
    <row r="279" spans="1:10" x14ac:dyDescent="0.2">
      <c r="A279" s="4">
        <v>45219</v>
      </c>
      <c r="B279" s="6" t="s">
        <v>312</v>
      </c>
      <c r="C279" s="1" t="s">
        <v>61</v>
      </c>
      <c r="D279" s="8">
        <v>89557</v>
      </c>
      <c r="E279" s="8">
        <v>0</v>
      </c>
      <c r="F279" s="8">
        <f>+D279*0.19</f>
        <v>17015.830000000002</v>
      </c>
      <c r="G279" s="8">
        <f t="shared" si="34"/>
        <v>106572.83</v>
      </c>
      <c r="H279" s="1" t="s">
        <v>307</v>
      </c>
      <c r="I279" s="4">
        <v>45219</v>
      </c>
      <c r="J279" s="1" t="s">
        <v>26</v>
      </c>
    </row>
    <row r="280" spans="1:10" x14ac:dyDescent="0.2">
      <c r="A280" s="4">
        <v>45252</v>
      </c>
      <c r="B280" s="6" t="s">
        <v>346</v>
      </c>
      <c r="C280" s="1" t="s">
        <v>347</v>
      </c>
      <c r="D280" s="8">
        <v>17900</v>
      </c>
      <c r="E280" s="8">
        <v>615760</v>
      </c>
      <c r="F280" s="8">
        <f t="shared" ref="F280:F281" si="35">+D280*0.19</f>
        <v>3401</v>
      </c>
      <c r="G280" s="8">
        <f t="shared" ref="G280:G281" si="36">SUM(D280:F280)</f>
        <v>637061</v>
      </c>
      <c r="H280" s="1" t="s">
        <v>348</v>
      </c>
      <c r="I280" s="4">
        <v>45252</v>
      </c>
      <c r="J280" s="1" t="s">
        <v>26</v>
      </c>
    </row>
    <row r="281" spans="1:10" x14ac:dyDescent="0.2">
      <c r="A281" s="4">
        <v>45252</v>
      </c>
      <c r="B281" s="6" t="s">
        <v>349</v>
      </c>
      <c r="C281" s="1" t="s">
        <v>347</v>
      </c>
      <c r="D281" s="8">
        <v>17900</v>
      </c>
      <c r="E281" s="8">
        <v>217485</v>
      </c>
      <c r="F281" s="8">
        <f t="shared" si="35"/>
        <v>3401</v>
      </c>
      <c r="G281" s="8">
        <f t="shared" si="36"/>
        <v>238786</v>
      </c>
      <c r="H281" s="1" t="s">
        <v>348</v>
      </c>
      <c r="I281" s="4">
        <v>45252</v>
      </c>
      <c r="J281" s="1" t="s">
        <v>26</v>
      </c>
    </row>
    <row r="282" spans="1:10" x14ac:dyDescent="0.2">
      <c r="A282" s="4">
        <v>45253</v>
      </c>
      <c r="B282" s="6" t="s">
        <v>353</v>
      </c>
      <c r="C282" s="1" t="s">
        <v>57</v>
      </c>
      <c r="D282" s="8">
        <v>219179</v>
      </c>
      <c r="E282" s="8">
        <v>0</v>
      </c>
      <c r="F282" s="8">
        <f t="shared" ref="F282" si="37">+D282*0.19</f>
        <v>41644.01</v>
      </c>
      <c r="G282" s="8">
        <f t="shared" si="34"/>
        <v>260823.01</v>
      </c>
      <c r="H282" s="1" t="s">
        <v>354</v>
      </c>
      <c r="I282" s="32">
        <v>45260</v>
      </c>
      <c r="J282" s="30" t="s">
        <v>26</v>
      </c>
    </row>
    <row r="283" spans="1:10" x14ac:dyDescent="0.2">
      <c r="A283" s="4">
        <v>45259</v>
      </c>
      <c r="B283" s="6" t="s">
        <v>424</v>
      </c>
      <c r="C283" s="1" t="s">
        <v>355</v>
      </c>
      <c r="D283" s="8">
        <v>202813239</v>
      </c>
      <c r="E283" s="8">
        <v>0</v>
      </c>
      <c r="F283" s="8">
        <f t="shared" ref="F283" si="38">+D283*0.19</f>
        <v>38534515.410000004</v>
      </c>
      <c r="G283" s="8">
        <f t="shared" ref="G283" si="39">SUM(D283:F283)</f>
        <v>241347754.41</v>
      </c>
      <c r="H283" s="1" t="s">
        <v>247</v>
      </c>
      <c r="I283" s="32">
        <v>45271</v>
      </c>
      <c r="J283" s="30" t="s">
        <v>26</v>
      </c>
    </row>
    <row r="284" spans="1:10" x14ac:dyDescent="0.2">
      <c r="A284" s="4">
        <v>45271</v>
      </c>
      <c r="B284" s="9" t="s">
        <v>425</v>
      </c>
      <c r="C284" s="1" t="s">
        <v>356</v>
      </c>
      <c r="D284" s="8">
        <v>0</v>
      </c>
      <c r="E284" s="8">
        <v>704000</v>
      </c>
      <c r="F284" s="8">
        <f t="shared" ref="F284:F291" si="40">+D284*0.19</f>
        <v>0</v>
      </c>
      <c r="G284" s="8">
        <f t="shared" ref="G284:G291" si="41">SUM(D284:F284)</f>
        <v>704000</v>
      </c>
      <c r="H284" s="1" t="s">
        <v>357</v>
      </c>
      <c r="I284" s="4">
        <v>45261</v>
      </c>
      <c r="J284" s="1" t="s">
        <v>26</v>
      </c>
    </row>
    <row r="285" spans="1:10" s="30" customFormat="1" x14ac:dyDescent="0.2">
      <c r="A285" s="32">
        <v>45278</v>
      </c>
      <c r="B285" s="39" t="s">
        <v>438</v>
      </c>
      <c r="C285" s="30" t="s">
        <v>71</v>
      </c>
      <c r="D285" s="29">
        <v>40517</v>
      </c>
      <c r="E285" s="29">
        <v>0</v>
      </c>
      <c r="F285" s="29">
        <f t="shared" si="40"/>
        <v>7698.2300000000005</v>
      </c>
      <c r="G285" s="29">
        <f t="shared" ref="G285" si="42">SUM(D285:F285)</f>
        <v>48215.23</v>
      </c>
      <c r="H285" s="30" t="s">
        <v>374</v>
      </c>
      <c r="I285" s="32">
        <v>45278</v>
      </c>
      <c r="J285" s="30" t="s">
        <v>437</v>
      </c>
    </row>
    <row r="286" spans="1:10" x14ac:dyDescent="0.2">
      <c r="A286" s="4">
        <v>45279</v>
      </c>
      <c r="B286" s="6" t="s">
        <v>401</v>
      </c>
      <c r="C286" s="1" t="s">
        <v>402</v>
      </c>
      <c r="D286" s="8">
        <v>0</v>
      </c>
      <c r="E286" s="8">
        <v>1907</v>
      </c>
      <c r="F286" s="8">
        <f t="shared" si="40"/>
        <v>0</v>
      </c>
      <c r="G286" s="8">
        <f t="shared" si="41"/>
        <v>1907</v>
      </c>
      <c r="H286" s="1" t="s">
        <v>403</v>
      </c>
      <c r="J286" s="1" t="s">
        <v>26</v>
      </c>
    </row>
    <row r="287" spans="1:10" x14ac:dyDescent="0.2">
      <c r="A287" s="20">
        <v>45274</v>
      </c>
      <c r="B287" s="21" t="s">
        <v>436</v>
      </c>
      <c r="C287" s="22" t="s">
        <v>88</v>
      </c>
      <c r="D287" s="23">
        <v>0</v>
      </c>
      <c r="E287" s="23">
        <f>17.93*869.47</f>
        <v>15589.597100000001</v>
      </c>
      <c r="F287" s="23">
        <f>60.19*869.47</f>
        <v>52333.399299999997</v>
      </c>
      <c r="G287" s="23">
        <f t="shared" si="41"/>
        <v>67922.996400000004</v>
      </c>
      <c r="H287" s="22" t="s">
        <v>374</v>
      </c>
      <c r="I287" s="4">
        <v>45278</v>
      </c>
      <c r="J287" s="1" t="s">
        <v>437</v>
      </c>
    </row>
    <row r="288" spans="1:10" x14ac:dyDescent="0.2">
      <c r="A288" s="4">
        <v>45282</v>
      </c>
      <c r="B288" s="1">
        <v>1031</v>
      </c>
      <c r="C288" s="1" t="s">
        <v>57</v>
      </c>
      <c r="D288" s="8">
        <v>220290</v>
      </c>
      <c r="E288" s="8">
        <v>0</v>
      </c>
      <c r="F288" s="8">
        <f t="shared" si="40"/>
        <v>41855.1</v>
      </c>
      <c r="G288" s="8">
        <f t="shared" si="41"/>
        <v>262145.09999999998</v>
      </c>
      <c r="H288" s="30" t="s">
        <v>374</v>
      </c>
      <c r="I288" s="4">
        <v>45288</v>
      </c>
      <c r="J288" s="1" t="s">
        <v>26</v>
      </c>
    </row>
    <row r="289" spans="1:10" x14ac:dyDescent="0.2">
      <c r="A289" s="4">
        <v>45261</v>
      </c>
      <c r="B289" s="6" t="s">
        <v>441</v>
      </c>
      <c r="C289" s="1" t="s">
        <v>24</v>
      </c>
      <c r="D289" s="8">
        <v>0</v>
      </c>
      <c r="E289" s="8">
        <v>1043472</v>
      </c>
      <c r="F289" s="8">
        <f t="shared" si="40"/>
        <v>0</v>
      </c>
      <c r="G289" s="8">
        <f t="shared" si="41"/>
        <v>1043472</v>
      </c>
      <c r="H289" s="1" t="s">
        <v>25</v>
      </c>
      <c r="I289" s="4">
        <v>45288</v>
      </c>
      <c r="J289" s="1" t="s">
        <v>26</v>
      </c>
    </row>
    <row r="290" spans="1:10" x14ac:dyDescent="0.2">
      <c r="A290" s="4">
        <v>45279</v>
      </c>
      <c r="B290" s="6" t="s">
        <v>442</v>
      </c>
      <c r="C290" s="1" t="s">
        <v>46</v>
      </c>
      <c r="D290" s="8">
        <v>3281032</v>
      </c>
      <c r="E290" s="8">
        <v>0</v>
      </c>
      <c r="F290" s="8">
        <f t="shared" si="40"/>
        <v>623396.07999999996</v>
      </c>
      <c r="G290" s="8">
        <f t="shared" si="41"/>
        <v>3904428.08</v>
      </c>
      <c r="H290" s="1" t="s">
        <v>443</v>
      </c>
      <c r="I290" s="4">
        <v>45289</v>
      </c>
      <c r="J290" s="33" t="s">
        <v>26</v>
      </c>
    </row>
    <row r="291" spans="1:10" x14ac:dyDescent="0.2">
      <c r="F291" s="8">
        <f t="shared" si="40"/>
        <v>0</v>
      </c>
      <c r="G291" s="8">
        <f t="shared" si="41"/>
        <v>0</v>
      </c>
    </row>
    <row r="292" spans="1:10" x14ac:dyDescent="0.2">
      <c r="F292" s="8">
        <f t="shared" ref="F292:F299" si="43">+D292*0.19</f>
        <v>0</v>
      </c>
      <c r="G292" s="8">
        <f t="shared" ref="G292:G299" si="44">SUM(D292:F292)</f>
        <v>0</v>
      </c>
    </row>
    <row r="293" spans="1:10" x14ac:dyDescent="0.2">
      <c r="F293" s="8">
        <f t="shared" si="43"/>
        <v>0</v>
      </c>
      <c r="G293" s="8">
        <f t="shared" si="44"/>
        <v>0</v>
      </c>
    </row>
    <row r="294" spans="1:10" x14ac:dyDescent="0.2">
      <c r="F294" s="8">
        <f t="shared" si="43"/>
        <v>0</v>
      </c>
      <c r="G294" s="8">
        <f t="shared" si="44"/>
        <v>0</v>
      </c>
    </row>
    <row r="295" spans="1:10" x14ac:dyDescent="0.2">
      <c r="F295" s="8">
        <f t="shared" si="43"/>
        <v>0</v>
      </c>
      <c r="G295" s="8">
        <f t="shared" si="44"/>
        <v>0</v>
      </c>
    </row>
    <row r="296" spans="1:10" x14ac:dyDescent="0.2">
      <c r="F296" s="8">
        <f t="shared" si="43"/>
        <v>0</v>
      </c>
      <c r="G296" s="8">
        <f t="shared" si="44"/>
        <v>0</v>
      </c>
    </row>
    <row r="297" spans="1:10" x14ac:dyDescent="0.2">
      <c r="F297" s="8">
        <f t="shared" si="43"/>
        <v>0</v>
      </c>
      <c r="G297" s="8">
        <f t="shared" si="44"/>
        <v>0</v>
      </c>
    </row>
    <row r="298" spans="1:10" x14ac:dyDescent="0.2">
      <c r="F298" s="8">
        <f t="shared" si="43"/>
        <v>0</v>
      </c>
      <c r="G298" s="8">
        <f t="shared" si="44"/>
        <v>0</v>
      </c>
    </row>
    <row r="299" spans="1:10" x14ac:dyDescent="0.2">
      <c r="F299" s="8">
        <f t="shared" si="43"/>
        <v>0</v>
      </c>
      <c r="G299" s="8">
        <f t="shared" si="44"/>
        <v>0</v>
      </c>
    </row>
  </sheetData>
  <autoFilter ref="A277:J299" xr:uid="{00000000-0001-0000-0000-000000000000}"/>
  <sortState xmlns:xlrd2="http://schemas.microsoft.com/office/spreadsheetml/2017/richdata2" ref="A226:R266">
    <sortCondition ref="A226:A266"/>
  </sortState>
  <phoneticPr fontId="3" type="noConversion"/>
  <pageMargins left="0.7" right="0.7" top="0.75" bottom="0.75" header="0.3" footer="0.3"/>
  <pageSetup paperSize="9" orientation="portrait" r:id="rId1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AF9-97C9-4583-B4A5-FCA4FAC5FBAE}">
  <dimension ref="A1:J349"/>
  <sheetViews>
    <sheetView workbookViewId="0">
      <pane ySplit="4380" topLeftCell="A280" activePane="bottomLeft"/>
      <selection activeCell="I19" sqref="I19:I20"/>
      <selection pane="bottomLeft" activeCell="H319" sqref="H319"/>
    </sheetView>
  </sheetViews>
  <sheetFormatPr baseColWidth="10" defaultColWidth="11.5703125" defaultRowHeight="12" x14ac:dyDescent="0.2"/>
  <cols>
    <col min="1" max="1" width="9.7109375" style="4" bestFit="1" customWidth="1"/>
    <col min="2" max="2" width="15.85546875" style="1" bestFit="1" customWidth="1"/>
    <col min="3" max="3" width="36.140625" style="1" bestFit="1" customWidth="1"/>
    <col min="4" max="4" width="12.140625" style="8" bestFit="1" customWidth="1"/>
    <col min="5" max="5" width="12.7109375" style="1" bestFit="1" customWidth="1"/>
    <col min="6" max="6" width="1.5703125" style="1" customWidth="1"/>
    <col min="7" max="7" width="12.42578125" style="1" customWidth="1"/>
    <col min="8" max="8" width="15.7109375" style="1" bestFit="1" customWidth="1"/>
    <col min="9" max="9" width="11.140625" style="1" bestFit="1" customWidth="1"/>
    <col min="10" max="10" width="23.42578125" style="1" bestFit="1" customWidth="1"/>
    <col min="11" max="16384" width="11.5703125" style="1"/>
  </cols>
  <sheetData>
    <row r="1" spans="1:10" s="47" customFormat="1" x14ac:dyDescent="0.2">
      <c r="A1" s="55" t="s">
        <v>12</v>
      </c>
      <c r="B1" s="47" t="s">
        <v>446</v>
      </c>
      <c r="C1" s="47" t="s">
        <v>447</v>
      </c>
      <c r="D1" s="46" t="s">
        <v>448</v>
      </c>
      <c r="E1" s="47" t="s">
        <v>449</v>
      </c>
    </row>
    <row r="2" spans="1:10" x14ac:dyDescent="0.2">
      <c r="A2" s="4">
        <v>45050</v>
      </c>
      <c r="B2" s="1" t="s">
        <v>56</v>
      </c>
      <c r="C2" s="1" t="s">
        <v>57</v>
      </c>
      <c r="D2" s="8">
        <v>256260.55</v>
      </c>
      <c r="E2" s="1" t="s">
        <v>58</v>
      </c>
      <c r="F2" s="8"/>
      <c r="G2" s="24" t="s">
        <v>358</v>
      </c>
    </row>
    <row r="3" spans="1:10" x14ac:dyDescent="0.2">
      <c r="A3" s="4">
        <v>45051</v>
      </c>
      <c r="B3" s="1" t="s">
        <v>60</v>
      </c>
      <c r="C3" s="1" t="s">
        <v>61</v>
      </c>
      <c r="D3" s="8">
        <v>210037.38</v>
      </c>
      <c r="E3" s="1" t="s">
        <v>58</v>
      </c>
    </row>
    <row r="4" spans="1:10" x14ac:dyDescent="0.2">
      <c r="A4" s="4">
        <v>45051</v>
      </c>
      <c r="B4" s="1" t="s">
        <v>87</v>
      </c>
      <c r="C4" s="1" t="s">
        <v>88</v>
      </c>
      <c r="D4" s="8">
        <v>1332831.9046</v>
      </c>
      <c r="E4" s="1" t="s">
        <v>58</v>
      </c>
      <c r="G4" s="4">
        <v>45069</v>
      </c>
      <c r="H4" s="1" t="s">
        <v>58</v>
      </c>
      <c r="I4" s="8">
        <v>42587</v>
      </c>
      <c r="J4" s="1" t="s">
        <v>359</v>
      </c>
    </row>
    <row r="5" spans="1:10" x14ac:dyDescent="0.2">
      <c r="A5" s="4">
        <v>45064</v>
      </c>
      <c r="B5" s="1" t="s">
        <v>67</v>
      </c>
      <c r="C5" s="1" t="s">
        <v>68</v>
      </c>
      <c r="D5" s="8">
        <v>152825.75</v>
      </c>
      <c r="E5" s="1" t="s">
        <v>58</v>
      </c>
      <c r="G5" s="4">
        <v>45069</v>
      </c>
      <c r="H5" s="1" t="s">
        <v>66</v>
      </c>
      <c r="I5" s="8">
        <v>146606</v>
      </c>
      <c r="J5" s="1" t="s">
        <v>359</v>
      </c>
    </row>
    <row r="6" spans="1:10" x14ac:dyDescent="0.2">
      <c r="A6" s="15"/>
      <c r="B6" s="16"/>
      <c r="C6" s="16" t="s">
        <v>360</v>
      </c>
      <c r="D6" s="28">
        <v>17000</v>
      </c>
      <c r="E6" s="16"/>
      <c r="G6" s="4">
        <v>45069</v>
      </c>
      <c r="H6" s="1" t="s">
        <v>78</v>
      </c>
      <c r="I6" s="11">
        <v>4904470</v>
      </c>
      <c r="J6" s="1" t="s">
        <v>361</v>
      </c>
    </row>
    <row r="7" spans="1:10" x14ac:dyDescent="0.2">
      <c r="D7" s="8">
        <f>SUM(D2:D6)</f>
        <v>1968955.5845999999</v>
      </c>
      <c r="I7" s="8">
        <f>SUM(I4:I6)</f>
        <v>5093663</v>
      </c>
    </row>
    <row r="8" spans="1:10" x14ac:dyDescent="0.2">
      <c r="A8" s="4">
        <v>45051</v>
      </c>
      <c r="B8" s="1" t="s">
        <v>58</v>
      </c>
      <c r="C8" s="1" t="s">
        <v>362</v>
      </c>
      <c r="D8" s="8">
        <v>-1926369</v>
      </c>
    </row>
    <row r="9" spans="1:10" x14ac:dyDescent="0.2">
      <c r="A9" s="4">
        <v>45069</v>
      </c>
      <c r="B9" s="1" t="s">
        <v>363</v>
      </c>
      <c r="C9" s="1" t="s">
        <v>362</v>
      </c>
      <c r="D9" s="11">
        <f>-I4</f>
        <v>-42587</v>
      </c>
      <c r="G9" s="4">
        <v>45112</v>
      </c>
      <c r="H9" s="1" t="s">
        <v>110</v>
      </c>
      <c r="I9" s="8">
        <v>170853</v>
      </c>
      <c r="J9" s="1" t="s">
        <v>359</v>
      </c>
    </row>
    <row r="10" spans="1:10" x14ac:dyDescent="0.2">
      <c r="D10" s="26">
        <f>SUM(D7:D9)</f>
        <v>-0.41540000005625188</v>
      </c>
      <c r="G10" s="4">
        <v>45112</v>
      </c>
      <c r="H10" s="1" t="s">
        <v>119</v>
      </c>
      <c r="I10" s="8">
        <v>195857</v>
      </c>
      <c r="J10" s="1" t="s">
        <v>359</v>
      </c>
    </row>
    <row r="11" spans="1:10" x14ac:dyDescent="0.2">
      <c r="G11" s="4">
        <v>45112</v>
      </c>
      <c r="H11" s="1" t="s">
        <v>138</v>
      </c>
      <c r="I11" s="11">
        <v>-184373</v>
      </c>
      <c r="J11" s="1" t="s">
        <v>359</v>
      </c>
    </row>
    <row r="12" spans="1:10" x14ac:dyDescent="0.2">
      <c r="A12" s="4">
        <v>45062</v>
      </c>
      <c r="B12" s="1" t="s">
        <v>89</v>
      </c>
      <c r="C12" s="1" t="s">
        <v>88</v>
      </c>
      <c r="D12" s="8">
        <v>1637434.7955</v>
      </c>
      <c r="E12" s="1" t="s">
        <v>66</v>
      </c>
      <c r="G12" s="4"/>
      <c r="I12" s="8">
        <f>SUM(I9:I11)</f>
        <v>182337</v>
      </c>
    </row>
    <row r="13" spans="1:10" x14ac:dyDescent="0.2">
      <c r="A13" s="4">
        <v>45063</v>
      </c>
      <c r="B13" s="1" t="s">
        <v>64</v>
      </c>
      <c r="C13" s="1" t="s">
        <v>65</v>
      </c>
      <c r="D13" s="8">
        <v>314049.33</v>
      </c>
      <c r="E13" s="1" t="s">
        <v>66</v>
      </c>
    </row>
    <row r="14" spans="1:10" x14ac:dyDescent="0.2">
      <c r="A14" s="4">
        <v>45064</v>
      </c>
      <c r="B14" s="1" t="s">
        <v>69</v>
      </c>
      <c r="C14" s="1" t="s">
        <v>68</v>
      </c>
      <c r="D14" s="8">
        <v>152825.75</v>
      </c>
      <c r="E14" s="1" t="s">
        <v>66</v>
      </c>
      <c r="G14" s="4">
        <v>45132</v>
      </c>
      <c r="H14" s="1" t="s">
        <v>168</v>
      </c>
      <c r="I14" s="8">
        <v>4923872</v>
      </c>
      <c r="J14" s="1" t="s">
        <v>361</v>
      </c>
    </row>
    <row r="15" spans="1:10" x14ac:dyDescent="0.2">
      <c r="A15" s="4">
        <v>45062</v>
      </c>
      <c r="B15" s="1" t="s">
        <v>75</v>
      </c>
      <c r="C15" s="1" t="s">
        <v>57</v>
      </c>
      <c r="D15" s="8">
        <v>256901.96</v>
      </c>
      <c r="E15" s="1" t="s">
        <v>66</v>
      </c>
      <c r="G15" s="4">
        <v>45132</v>
      </c>
      <c r="H15" s="1" t="s">
        <v>156</v>
      </c>
      <c r="I15" s="11">
        <v>-154547</v>
      </c>
      <c r="J15" s="1" t="s">
        <v>359</v>
      </c>
    </row>
    <row r="16" spans="1:10" x14ac:dyDescent="0.2">
      <c r="A16" s="15"/>
      <c r="B16" s="16"/>
      <c r="C16" s="16" t="s">
        <v>360</v>
      </c>
      <c r="D16" s="28">
        <v>17000</v>
      </c>
      <c r="E16" s="16"/>
      <c r="I16" s="8">
        <f>SUM(I14:I15)</f>
        <v>4769325</v>
      </c>
    </row>
    <row r="17" spans="1:10" x14ac:dyDescent="0.2">
      <c r="D17" s="8">
        <f>SUM(D12:D16)</f>
        <v>2378211.8355</v>
      </c>
    </row>
    <row r="18" spans="1:10" x14ac:dyDescent="0.2">
      <c r="A18" s="4">
        <v>45062</v>
      </c>
      <c r="B18" s="1" t="s">
        <v>66</v>
      </c>
      <c r="C18" s="1" t="s">
        <v>362</v>
      </c>
      <c r="D18" s="8">
        <v>-2231607</v>
      </c>
      <c r="G18" s="4">
        <v>45156</v>
      </c>
      <c r="H18" s="1" t="s">
        <v>216</v>
      </c>
      <c r="I18" s="8">
        <v>9319428</v>
      </c>
      <c r="J18" s="56">
        <f>I18-9054180</f>
        <v>265248</v>
      </c>
    </row>
    <row r="19" spans="1:10" x14ac:dyDescent="0.2">
      <c r="A19" s="4">
        <v>45069</v>
      </c>
      <c r="B19" s="1" t="s">
        <v>363</v>
      </c>
      <c r="C19" s="1" t="s">
        <v>362</v>
      </c>
      <c r="D19" s="11">
        <f>-I5</f>
        <v>-146606</v>
      </c>
      <c r="G19" s="4">
        <v>45156</v>
      </c>
      <c r="H19" s="1" t="s">
        <v>168</v>
      </c>
      <c r="I19" s="8">
        <v>-257891</v>
      </c>
    </row>
    <row r="20" spans="1:10" x14ac:dyDescent="0.2">
      <c r="D20" s="26">
        <f>SUM(D17:D19)</f>
        <v>-1.1644999999552965</v>
      </c>
      <c r="G20" s="4">
        <v>45156</v>
      </c>
      <c r="H20" s="1" t="s">
        <v>185</v>
      </c>
      <c r="I20" s="11">
        <v>-7359</v>
      </c>
    </row>
    <row r="21" spans="1:10" x14ac:dyDescent="0.2">
      <c r="I21" s="8">
        <f>SUM(I18:I20)</f>
        <v>9054178</v>
      </c>
    </row>
    <row r="22" spans="1:10" x14ac:dyDescent="0.2">
      <c r="A22" s="4">
        <v>45065</v>
      </c>
      <c r="B22" s="1" t="s">
        <v>70</v>
      </c>
      <c r="C22" s="1" t="s">
        <v>71</v>
      </c>
      <c r="D22" s="8">
        <v>138124.49</v>
      </c>
      <c r="E22" s="1" t="s">
        <v>72</v>
      </c>
    </row>
    <row r="23" spans="1:10" x14ac:dyDescent="0.2">
      <c r="A23" s="4">
        <v>45077</v>
      </c>
      <c r="B23" s="1" t="s">
        <v>103</v>
      </c>
      <c r="C23" s="1" t="s">
        <v>57</v>
      </c>
      <c r="D23" s="8">
        <v>128637.81</v>
      </c>
      <c r="E23" s="1" t="s">
        <v>72</v>
      </c>
      <c r="G23" s="4">
        <v>45182</v>
      </c>
      <c r="H23" s="1" t="s">
        <v>216</v>
      </c>
      <c r="I23" s="8">
        <v>80084</v>
      </c>
      <c r="J23" s="1" t="s">
        <v>359</v>
      </c>
    </row>
    <row r="24" spans="1:10" x14ac:dyDescent="0.2">
      <c r="A24" s="4">
        <v>45079</v>
      </c>
      <c r="B24" s="1" t="s">
        <v>92</v>
      </c>
      <c r="C24" s="1" t="s">
        <v>88</v>
      </c>
      <c r="D24" s="11">
        <v>569025.80280000006</v>
      </c>
      <c r="E24" s="1" t="s">
        <v>72</v>
      </c>
      <c r="G24" s="4">
        <v>45182</v>
      </c>
      <c r="H24" s="1" t="s">
        <v>203</v>
      </c>
      <c r="I24" s="11">
        <v>135521</v>
      </c>
      <c r="J24" s="1" t="s">
        <v>359</v>
      </c>
    </row>
    <row r="25" spans="1:10" x14ac:dyDescent="0.2">
      <c r="D25" s="8">
        <f>SUM(D22:D24)</f>
        <v>835788.10279999999</v>
      </c>
      <c r="I25" s="8">
        <f>SUM(I23:I24)</f>
        <v>215605</v>
      </c>
    </row>
    <row r="26" spans="1:10" x14ac:dyDescent="0.2">
      <c r="A26" s="4">
        <v>45064</v>
      </c>
      <c r="B26" s="1" t="s">
        <v>72</v>
      </c>
      <c r="C26" s="1" t="s">
        <v>362</v>
      </c>
      <c r="D26" s="8">
        <v>-707150.49</v>
      </c>
    </row>
    <row r="27" spans="1:10" x14ac:dyDescent="0.2">
      <c r="A27" s="4">
        <v>45092</v>
      </c>
      <c r="B27" s="1" t="s">
        <v>59</v>
      </c>
      <c r="C27" s="1" t="s">
        <v>362</v>
      </c>
      <c r="D27" s="11">
        <f>-D23</f>
        <v>-128637.81</v>
      </c>
      <c r="G27" s="4">
        <v>45191</v>
      </c>
      <c r="H27" s="1" t="s">
        <v>251</v>
      </c>
      <c r="I27" s="8">
        <v>4102854</v>
      </c>
    </row>
    <row r="28" spans="1:10" x14ac:dyDescent="0.2">
      <c r="D28" s="26">
        <f>SUM(D25:D27)</f>
        <v>-0.19719999999506399</v>
      </c>
      <c r="G28" s="4">
        <v>45191</v>
      </c>
      <c r="H28" s="1" t="s">
        <v>168</v>
      </c>
      <c r="I28" s="8">
        <v>-257891</v>
      </c>
      <c r="J28" s="1" t="s">
        <v>364</v>
      </c>
    </row>
    <row r="29" spans="1:10" x14ac:dyDescent="0.2">
      <c r="G29" s="4">
        <v>45191</v>
      </c>
      <c r="H29" s="1" t="s">
        <v>185</v>
      </c>
      <c r="I29" s="8">
        <v>-7359</v>
      </c>
      <c r="J29" s="1" t="s">
        <v>364</v>
      </c>
    </row>
    <row r="30" spans="1:10" x14ac:dyDescent="0.2">
      <c r="A30" s="4">
        <v>45065</v>
      </c>
      <c r="B30" s="1" t="s">
        <v>73</v>
      </c>
      <c r="C30" s="1" t="s">
        <v>71</v>
      </c>
      <c r="D30" s="8">
        <v>138124.49</v>
      </c>
      <c r="E30" s="1" t="s">
        <v>74</v>
      </c>
      <c r="G30" s="4">
        <v>45191</v>
      </c>
      <c r="H30" s="1" t="s">
        <v>234</v>
      </c>
      <c r="I30" s="11">
        <v>-94678</v>
      </c>
      <c r="J30" s="1" t="s">
        <v>365</v>
      </c>
    </row>
    <row r="31" spans="1:10" x14ac:dyDescent="0.2">
      <c r="A31" s="4">
        <v>45077</v>
      </c>
      <c r="B31" s="1" t="s">
        <v>104</v>
      </c>
      <c r="C31" s="1" t="s">
        <v>57</v>
      </c>
      <c r="D31" s="8">
        <v>128637.81</v>
      </c>
      <c r="E31" s="1" t="s">
        <v>74</v>
      </c>
      <c r="G31" s="4"/>
      <c r="I31" s="29">
        <v>3742926</v>
      </c>
      <c r="J31" s="30"/>
    </row>
    <row r="32" spans="1:10" x14ac:dyDescent="0.2">
      <c r="A32" s="4">
        <v>45079</v>
      </c>
      <c r="B32" s="1" t="s">
        <v>90</v>
      </c>
      <c r="C32" s="1" t="s">
        <v>88</v>
      </c>
      <c r="D32" s="11">
        <v>377120.10350000003</v>
      </c>
      <c r="E32" s="1" t="s">
        <v>74</v>
      </c>
    </row>
    <row r="33" spans="1:10" x14ac:dyDescent="0.2">
      <c r="D33" s="8">
        <f>SUM(D30:D32)</f>
        <v>643882.40350000001</v>
      </c>
      <c r="G33" s="4">
        <v>45191</v>
      </c>
      <c r="H33" s="1" t="s">
        <v>168</v>
      </c>
      <c r="I33" s="8">
        <f>-I28</f>
        <v>257891</v>
      </c>
      <c r="J33" s="1" t="s">
        <v>364</v>
      </c>
    </row>
    <row r="34" spans="1:10" x14ac:dyDescent="0.2">
      <c r="A34" s="4">
        <v>45064</v>
      </c>
      <c r="B34" s="1" t="s">
        <v>74</v>
      </c>
      <c r="C34" s="1" t="s">
        <v>362</v>
      </c>
      <c r="D34" s="8">
        <v>-515244.49</v>
      </c>
      <c r="G34" s="4">
        <v>45191</v>
      </c>
      <c r="H34" s="1" t="s">
        <v>185</v>
      </c>
      <c r="I34" s="8">
        <f>-I29</f>
        <v>7359</v>
      </c>
      <c r="J34" s="1" t="s">
        <v>364</v>
      </c>
    </row>
    <row r="35" spans="1:10" x14ac:dyDescent="0.2">
      <c r="A35" s="4">
        <v>45092</v>
      </c>
      <c r="B35" s="1" t="s">
        <v>59</v>
      </c>
      <c r="C35" s="1" t="s">
        <v>362</v>
      </c>
      <c r="D35" s="11">
        <f>-D31</f>
        <v>-128637.81</v>
      </c>
      <c r="G35" s="4">
        <v>45194</v>
      </c>
      <c r="H35" s="1" t="s">
        <v>234</v>
      </c>
      <c r="I35" s="8">
        <f>-D223</f>
        <v>-214199.52050000001</v>
      </c>
      <c r="J35" s="1" t="s">
        <v>366</v>
      </c>
    </row>
    <row r="36" spans="1:10" x14ac:dyDescent="0.2">
      <c r="D36" s="26">
        <f>SUM(D33:D35)</f>
        <v>0.10350000002654269</v>
      </c>
      <c r="G36" s="4">
        <v>45194</v>
      </c>
      <c r="H36" s="1" t="s">
        <v>251</v>
      </c>
      <c r="I36" s="11">
        <f>-D236</f>
        <v>-30501</v>
      </c>
      <c r="J36" s="1" t="s">
        <v>367</v>
      </c>
    </row>
    <row r="37" spans="1:10" x14ac:dyDescent="0.2">
      <c r="I37" s="8">
        <f>SUM(I33:I36)</f>
        <v>20549.479499999987</v>
      </c>
    </row>
    <row r="38" spans="1:10" x14ac:dyDescent="0.2">
      <c r="A38" s="4">
        <v>45071</v>
      </c>
      <c r="B38" s="1" t="s">
        <v>76</v>
      </c>
      <c r="C38" s="1" t="s">
        <v>77</v>
      </c>
      <c r="D38" s="8">
        <v>120110.27</v>
      </c>
      <c r="E38" s="1" t="s">
        <v>78</v>
      </c>
      <c r="G38" s="4">
        <v>45210</v>
      </c>
      <c r="H38" s="1" t="s">
        <v>26</v>
      </c>
      <c r="I38" s="11">
        <v>-20549.479499999987</v>
      </c>
    </row>
    <row r="39" spans="1:10" x14ac:dyDescent="0.2">
      <c r="A39" s="4">
        <v>45071</v>
      </c>
      <c r="B39" s="1" t="s">
        <v>79</v>
      </c>
      <c r="C39" s="1" t="s">
        <v>80</v>
      </c>
      <c r="D39" s="8">
        <v>53550</v>
      </c>
      <c r="E39" s="1" t="s">
        <v>78</v>
      </c>
      <c r="I39" s="8">
        <f>SUM(I37:I38)</f>
        <v>0</v>
      </c>
    </row>
    <row r="40" spans="1:10" x14ac:dyDescent="0.2">
      <c r="A40" s="4">
        <v>45076</v>
      </c>
      <c r="B40" s="1" t="s">
        <v>85</v>
      </c>
      <c r="C40" s="1" t="s">
        <v>68</v>
      </c>
      <c r="D40" s="8">
        <v>152825.75</v>
      </c>
      <c r="E40" s="1" t="s">
        <v>78</v>
      </c>
    </row>
    <row r="41" spans="1:10" x14ac:dyDescent="0.2">
      <c r="A41" s="4">
        <v>45076</v>
      </c>
      <c r="B41" s="1" t="s">
        <v>86</v>
      </c>
      <c r="C41" s="1" t="s">
        <v>68</v>
      </c>
      <c r="D41" s="8">
        <v>99028.23</v>
      </c>
      <c r="E41" s="1" t="s">
        <v>78</v>
      </c>
      <c r="G41" s="4">
        <v>45260</v>
      </c>
      <c r="H41" s="1" t="s">
        <v>405</v>
      </c>
      <c r="I41" s="8">
        <v>260823</v>
      </c>
      <c r="J41" s="52">
        <v>952</v>
      </c>
    </row>
    <row r="42" spans="1:10" x14ac:dyDescent="0.2">
      <c r="A42" s="4">
        <v>45069</v>
      </c>
      <c r="B42" s="1" t="s">
        <v>93</v>
      </c>
      <c r="C42" s="1" t="s">
        <v>94</v>
      </c>
      <c r="D42" s="8">
        <v>47614.28</v>
      </c>
      <c r="E42" s="1" t="s">
        <v>78</v>
      </c>
      <c r="G42" s="4">
        <v>45260</v>
      </c>
      <c r="H42" s="1" t="s">
        <v>398</v>
      </c>
      <c r="I42" s="54">
        <v>260823</v>
      </c>
      <c r="J42" s="52">
        <v>953</v>
      </c>
    </row>
    <row r="43" spans="1:10" x14ac:dyDescent="0.2">
      <c r="A43" s="4">
        <v>45069</v>
      </c>
      <c r="B43" s="1" t="s">
        <v>95</v>
      </c>
      <c r="C43" s="1" t="s">
        <v>94</v>
      </c>
      <c r="D43" s="8">
        <v>1000956</v>
      </c>
      <c r="E43" s="1" t="s">
        <v>78</v>
      </c>
      <c r="G43" s="4">
        <v>45260</v>
      </c>
      <c r="H43" s="1" t="s">
        <v>397</v>
      </c>
      <c r="I43" s="54">
        <v>260823</v>
      </c>
      <c r="J43" s="52">
        <v>954</v>
      </c>
    </row>
    <row r="44" spans="1:10" x14ac:dyDescent="0.2">
      <c r="A44" s="4">
        <v>45069</v>
      </c>
      <c r="B44" s="1" t="s">
        <v>96</v>
      </c>
      <c r="C44" s="1" t="s">
        <v>57</v>
      </c>
      <c r="D44" s="8">
        <v>257075.7</v>
      </c>
      <c r="E44" s="1" t="s">
        <v>78</v>
      </c>
      <c r="G44" s="4">
        <v>45260</v>
      </c>
      <c r="H44" s="1" t="s">
        <v>400</v>
      </c>
      <c r="I44" s="54">
        <v>260823</v>
      </c>
      <c r="J44" s="52">
        <v>955</v>
      </c>
    </row>
    <row r="45" spans="1:10" x14ac:dyDescent="0.2">
      <c r="A45" s="4">
        <v>45070</v>
      </c>
      <c r="B45" s="1" t="s">
        <v>99</v>
      </c>
      <c r="C45" s="1" t="s">
        <v>57</v>
      </c>
      <c r="D45" s="8">
        <v>51861.39</v>
      </c>
      <c r="E45" s="1" t="s">
        <v>78</v>
      </c>
      <c r="G45" s="4">
        <v>45219</v>
      </c>
      <c r="H45" s="1" t="s">
        <v>293</v>
      </c>
      <c r="I45" s="54">
        <f>-D286</f>
        <v>-94375</v>
      </c>
      <c r="J45" s="52" t="s">
        <v>359</v>
      </c>
    </row>
    <row r="46" spans="1:10" x14ac:dyDescent="0.2">
      <c r="A46" s="4">
        <v>45085</v>
      </c>
      <c r="B46" s="1" t="s">
        <v>98</v>
      </c>
      <c r="C46" s="1" t="s">
        <v>88</v>
      </c>
      <c r="D46" s="8">
        <v>2264693</v>
      </c>
      <c r="E46" s="1" t="s">
        <v>78</v>
      </c>
      <c r="G46" s="4">
        <v>45233</v>
      </c>
      <c r="H46" s="1" t="s">
        <v>323</v>
      </c>
      <c r="I46" s="54">
        <v>-50758.564100000076</v>
      </c>
      <c r="J46" s="52" t="s">
        <v>445</v>
      </c>
    </row>
    <row r="47" spans="1:10" x14ac:dyDescent="0.2">
      <c r="A47" s="4">
        <v>45085</v>
      </c>
      <c r="B47" s="1" t="s">
        <v>97</v>
      </c>
      <c r="C47" s="1" t="s">
        <v>88</v>
      </c>
      <c r="D47" s="11">
        <v>882663.14990000008</v>
      </c>
      <c r="E47" s="1" t="s">
        <v>78</v>
      </c>
      <c r="G47" s="4">
        <v>45236</v>
      </c>
      <c r="H47" s="1" t="s">
        <v>326</v>
      </c>
      <c r="I47" s="53">
        <v>-4221.3319999999367</v>
      </c>
      <c r="J47" s="52" t="s">
        <v>359</v>
      </c>
    </row>
    <row r="48" spans="1:10" x14ac:dyDescent="0.2">
      <c r="D48" s="8">
        <f>SUM(D38:D47)</f>
        <v>4930377.7698999997</v>
      </c>
      <c r="I48" s="8">
        <f>SUM(I41:I47)</f>
        <v>893937.10389999999</v>
      </c>
    </row>
    <row r="49" spans="1:9" x14ac:dyDescent="0.2">
      <c r="A49" s="4">
        <v>45069</v>
      </c>
      <c r="B49" s="1" t="s">
        <v>78</v>
      </c>
      <c r="C49" s="1" t="s">
        <v>362</v>
      </c>
      <c r="D49" s="11">
        <f>-I6</f>
        <v>-4904470</v>
      </c>
    </row>
    <row r="50" spans="1:9" x14ac:dyDescent="0.2">
      <c r="D50" s="8">
        <f>SUM(D48:D49)</f>
        <v>25907.769899999723</v>
      </c>
    </row>
    <row r="51" spans="1:9" x14ac:dyDescent="0.2">
      <c r="A51" s="4">
        <v>45112</v>
      </c>
      <c r="B51" s="1" t="s">
        <v>370</v>
      </c>
      <c r="D51" s="11">
        <f>+D85</f>
        <v>-25906.918199999258</v>
      </c>
    </row>
    <row r="52" spans="1:9" x14ac:dyDescent="0.2">
      <c r="D52" s="8">
        <f>SUM(D50:D51)</f>
        <v>0.85170000046491623</v>
      </c>
    </row>
    <row r="54" spans="1:9" x14ac:dyDescent="0.2">
      <c r="A54" s="4">
        <v>45071</v>
      </c>
      <c r="B54" s="1" t="s">
        <v>81</v>
      </c>
      <c r="C54" s="1" t="s">
        <v>65</v>
      </c>
      <c r="D54" s="8">
        <v>35453.67</v>
      </c>
      <c r="E54" s="1" t="s">
        <v>82</v>
      </c>
      <c r="G54" s="24" t="s">
        <v>368</v>
      </c>
    </row>
    <row r="55" spans="1:9" x14ac:dyDescent="0.2">
      <c r="A55" s="4">
        <v>45077</v>
      </c>
      <c r="B55" s="1" t="s">
        <v>105</v>
      </c>
      <c r="C55" s="1" t="s">
        <v>57</v>
      </c>
      <c r="D55" s="8">
        <v>128637.81</v>
      </c>
      <c r="E55" s="1" t="s">
        <v>82</v>
      </c>
      <c r="I55" s="8"/>
    </row>
    <row r="56" spans="1:9" x14ac:dyDescent="0.2">
      <c r="A56" s="4">
        <v>45086</v>
      </c>
      <c r="B56" s="1" t="s">
        <v>100</v>
      </c>
      <c r="C56" s="1" t="s">
        <v>88</v>
      </c>
      <c r="D56" s="11">
        <v>174633.9448</v>
      </c>
      <c r="E56" s="1" t="s">
        <v>82</v>
      </c>
    </row>
    <row r="57" spans="1:9" x14ac:dyDescent="0.2">
      <c r="D57" s="8">
        <f>SUM(D54:D56)</f>
        <v>338725.42479999998</v>
      </c>
    </row>
    <row r="58" spans="1:9" x14ac:dyDescent="0.2">
      <c r="A58" s="4">
        <v>45075</v>
      </c>
      <c r="B58" s="1" t="s">
        <v>82</v>
      </c>
      <c r="C58" s="1" t="s">
        <v>362</v>
      </c>
      <c r="D58" s="8">
        <v>-210087.67</v>
      </c>
      <c r="G58" s="24" t="s">
        <v>369</v>
      </c>
    </row>
    <row r="59" spans="1:9" x14ac:dyDescent="0.2">
      <c r="A59" s="4">
        <v>45092</v>
      </c>
      <c r="B59" s="1" t="s">
        <v>59</v>
      </c>
      <c r="C59" s="1" t="s">
        <v>362</v>
      </c>
      <c r="D59" s="11">
        <f>-D55</f>
        <v>-128637.81</v>
      </c>
      <c r="H59" s="1" t="s">
        <v>371</v>
      </c>
      <c r="I59" s="8">
        <v>0</v>
      </c>
    </row>
    <row r="60" spans="1:9" x14ac:dyDescent="0.2">
      <c r="D60" s="26">
        <f>SUM(D57:D59)</f>
        <v>-5.5200000031618401E-2</v>
      </c>
      <c r="H60" s="1" t="s">
        <v>372</v>
      </c>
      <c r="I60" s="8">
        <v>0</v>
      </c>
    </row>
    <row r="61" spans="1:9" x14ac:dyDescent="0.2">
      <c r="H61" s="1" t="s">
        <v>373</v>
      </c>
      <c r="I61" s="8">
        <v>0</v>
      </c>
    </row>
    <row r="62" spans="1:9" x14ac:dyDescent="0.2">
      <c r="A62" s="4">
        <v>45076</v>
      </c>
      <c r="B62" s="1" t="s">
        <v>83</v>
      </c>
      <c r="C62" s="1" t="s">
        <v>71</v>
      </c>
      <c r="D62" s="8">
        <v>138124.49</v>
      </c>
      <c r="E62" s="1" t="s">
        <v>84</v>
      </c>
      <c r="H62" s="1" t="s">
        <v>58</v>
      </c>
      <c r="I62" s="8">
        <f>+D10</f>
        <v>-0.41540000005625188</v>
      </c>
    </row>
    <row r="63" spans="1:9" x14ac:dyDescent="0.2">
      <c r="A63" s="4">
        <v>45077</v>
      </c>
      <c r="B63" s="1" t="s">
        <v>106</v>
      </c>
      <c r="C63" s="1" t="s">
        <v>57</v>
      </c>
      <c r="D63" s="8">
        <v>128637.81</v>
      </c>
      <c r="E63" s="1" t="s">
        <v>84</v>
      </c>
      <c r="H63" s="1" t="s">
        <v>66</v>
      </c>
      <c r="I63" s="8">
        <f>+D20</f>
        <v>-1.1644999999552965</v>
      </c>
    </row>
    <row r="64" spans="1:9" x14ac:dyDescent="0.2">
      <c r="A64" s="4">
        <v>45090</v>
      </c>
      <c r="B64" s="1" t="s">
        <v>102</v>
      </c>
      <c r="C64" s="1" t="s">
        <v>88</v>
      </c>
      <c r="D64" s="11">
        <v>546834.21519999998</v>
      </c>
      <c r="E64" s="1" t="s">
        <v>84</v>
      </c>
      <c r="H64" s="1" t="s">
        <v>78</v>
      </c>
      <c r="I64" s="8">
        <f>+D52</f>
        <v>0.85170000046491623</v>
      </c>
    </row>
    <row r="65" spans="1:9" x14ac:dyDescent="0.2">
      <c r="D65" s="8">
        <f>SUM(D62:D64)</f>
        <v>813596.51520000002</v>
      </c>
      <c r="H65" s="1" t="s">
        <v>138</v>
      </c>
      <c r="I65" s="8">
        <f>+D116</f>
        <v>-0.33220000006258488</v>
      </c>
    </row>
    <row r="66" spans="1:9" x14ac:dyDescent="0.2">
      <c r="A66" s="4">
        <v>45075</v>
      </c>
      <c r="B66" s="1" t="s">
        <v>84</v>
      </c>
      <c r="C66" s="1" t="s">
        <v>362</v>
      </c>
      <c r="D66" s="8">
        <v>-684958.49</v>
      </c>
      <c r="H66" s="1" t="s">
        <v>72</v>
      </c>
      <c r="I66" s="8">
        <f>+D28</f>
        <v>-0.19719999999506399</v>
      </c>
    </row>
    <row r="67" spans="1:9" x14ac:dyDescent="0.2">
      <c r="A67" s="4">
        <v>45092</v>
      </c>
      <c r="B67" s="1" t="s">
        <v>59</v>
      </c>
      <c r="C67" s="1" t="s">
        <v>362</v>
      </c>
      <c r="D67" s="11">
        <f>-D63</f>
        <v>-128637.81</v>
      </c>
      <c r="H67" s="1" t="s">
        <v>74</v>
      </c>
      <c r="I67" s="8">
        <f>+D36</f>
        <v>0.10350000002654269</v>
      </c>
    </row>
    <row r="68" spans="1:9" x14ac:dyDescent="0.2">
      <c r="D68" s="26">
        <f>SUM(D65:D67)</f>
        <v>0.21520000003511086</v>
      </c>
      <c r="H68" s="1" t="s">
        <v>110</v>
      </c>
      <c r="I68" s="8">
        <f>+D87</f>
        <v>0.85170000046491623</v>
      </c>
    </row>
    <row r="69" spans="1:9" x14ac:dyDescent="0.2">
      <c r="H69" s="1" t="s">
        <v>82</v>
      </c>
      <c r="I69" s="8">
        <f>+D60</f>
        <v>-5.5200000031618401E-2</v>
      </c>
    </row>
    <row r="70" spans="1:9" x14ac:dyDescent="0.2">
      <c r="A70" s="4">
        <v>45082</v>
      </c>
      <c r="B70" s="1" t="s">
        <v>108</v>
      </c>
      <c r="C70" s="1" t="s">
        <v>109</v>
      </c>
      <c r="D70" s="56">
        <v>142438.24</v>
      </c>
      <c r="E70" s="1" t="s">
        <v>110</v>
      </c>
      <c r="H70" s="1" t="s">
        <v>84</v>
      </c>
      <c r="I70" s="8">
        <f>+D68</f>
        <v>0.21520000003511086</v>
      </c>
    </row>
    <row r="71" spans="1:9" x14ac:dyDescent="0.2">
      <c r="A71" s="4">
        <v>45082</v>
      </c>
      <c r="B71" s="1" t="s">
        <v>111</v>
      </c>
      <c r="C71" s="1" t="s">
        <v>109</v>
      </c>
      <c r="D71" s="56">
        <v>928925</v>
      </c>
      <c r="E71" s="1" t="s">
        <v>110</v>
      </c>
      <c r="H71" s="1" t="s">
        <v>119</v>
      </c>
      <c r="I71" s="8">
        <f>+D103</f>
        <v>-1.5872000008821487</v>
      </c>
    </row>
    <row r="72" spans="1:9" x14ac:dyDescent="0.2">
      <c r="A72" s="4">
        <v>45085</v>
      </c>
      <c r="B72" s="1" t="s">
        <v>114</v>
      </c>
      <c r="C72" s="1" t="s">
        <v>57</v>
      </c>
      <c r="D72" s="56">
        <v>261560.81</v>
      </c>
      <c r="E72" s="1" t="s">
        <v>110</v>
      </c>
      <c r="H72" s="1" t="s">
        <v>168</v>
      </c>
      <c r="I72" s="8">
        <f>+D158</f>
        <v>1.7301000002771616</v>
      </c>
    </row>
    <row r="73" spans="1:9" x14ac:dyDescent="0.2">
      <c r="A73" s="4">
        <v>45085</v>
      </c>
      <c r="B73" s="1" t="s">
        <v>115</v>
      </c>
      <c r="C73" s="1" t="s">
        <v>57</v>
      </c>
      <c r="D73" s="56">
        <v>257474.35</v>
      </c>
      <c r="E73" s="1" t="s">
        <v>110</v>
      </c>
      <c r="H73" s="1" t="s">
        <v>156</v>
      </c>
      <c r="I73" s="8">
        <f>+D145</f>
        <v>-110.54669999983162</v>
      </c>
    </row>
    <row r="74" spans="1:9" x14ac:dyDescent="0.2">
      <c r="A74" s="4">
        <v>45086</v>
      </c>
      <c r="B74" s="1" t="s">
        <v>116</v>
      </c>
      <c r="C74" s="1" t="s">
        <v>77</v>
      </c>
      <c r="D74" s="56">
        <v>345804.48</v>
      </c>
      <c r="E74" s="1" t="s">
        <v>110</v>
      </c>
      <c r="H74" s="1" t="s">
        <v>185</v>
      </c>
      <c r="I74" s="8">
        <f>+D174</f>
        <v>-0.10160000016912818</v>
      </c>
    </row>
    <row r="75" spans="1:9" x14ac:dyDescent="0.2">
      <c r="A75" s="4">
        <v>45088</v>
      </c>
      <c r="B75" s="1" t="s">
        <v>117</v>
      </c>
      <c r="C75" s="1" t="s">
        <v>80</v>
      </c>
      <c r="D75" s="56">
        <v>47600</v>
      </c>
      <c r="E75" s="1" t="s">
        <v>110</v>
      </c>
      <c r="H75" s="1" t="s">
        <v>153</v>
      </c>
      <c r="I75" s="8">
        <f>+D124</f>
        <v>-0.12140000000363216</v>
      </c>
    </row>
    <row r="76" spans="1:9" x14ac:dyDescent="0.2">
      <c r="A76" s="4">
        <v>45092</v>
      </c>
      <c r="B76" s="1" t="s">
        <v>122</v>
      </c>
      <c r="C76" s="1" t="s">
        <v>68</v>
      </c>
      <c r="D76" s="56">
        <v>293319.53000000003</v>
      </c>
      <c r="E76" s="1" t="s">
        <v>110</v>
      </c>
      <c r="H76" s="1" t="s">
        <v>172</v>
      </c>
      <c r="I76" s="8">
        <f>+D132</f>
        <v>0.22830000003159512</v>
      </c>
    </row>
    <row r="77" spans="1:9" x14ac:dyDescent="0.2">
      <c r="A77" s="4">
        <v>45092</v>
      </c>
      <c r="B77" s="1" t="s">
        <v>123</v>
      </c>
      <c r="C77" s="1" t="s">
        <v>68</v>
      </c>
      <c r="D77" s="56">
        <v>152387.83000000002</v>
      </c>
      <c r="E77" s="1" t="s">
        <v>110</v>
      </c>
      <c r="H77" s="1" t="s">
        <v>203</v>
      </c>
      <c r="I77" s="8">
        <f>+D190</f>
        <v>3.3700000494718552E-2</v>
      </c>
    </row>
    <row r="78" spans="1:9" x14ac:dyDescent="0.2">
      <c r="A78" s="4">
        <v>45096</v>
      </c>
      <c r="B78" s="1" t="s">
        <v>127</v>
      </c>
      <c r="C78" s="1" t="s">
        <v>57</v>
      </c>
      <c r="D78" s="56">
        <v>47204.92</v>
      </c>
      <c r="E78" s="1" t="s">
        <v>110</v>
      </c>
      <c r="H78" s="1" t="s">
        <v>211</v>
      </c>
      <c r="I78" s="8">
        <f>+D198</f>
        <v>-0.53509999999369029</v>
      </c>
    </row>
    <row r="79" spans="1:9" x14ac:dyDescent="0.2">
      <c r="A79" s="4">
        <v>45096</v>
      </c>
      <c r="B79" s="1" t="s">
        <v>130</v>
      </c>
      <c r="C79" s="1" t="s">
        <v>68</v>
      </c>
      <c r="D79" s="56">
        <v>-97758.5</v>
      </c>
      <c r="E79" s="1" t="s">
        <v>110</v>
      </c>
      <c r="H79" s="1" t="s">
        <v>216</v>
      </c>
      <c r="I79" s="8">
        <f>+D213</f>
        <v>0.17709999904036522</v>
      </c>
    </row>
    <row r="80" spans="1:9" x14ac:dyDescent="0.2">
      <c r="A80" s="4">
        <v>45099</v>
      </c>
      <c r="B80" s="1" t="s">
        <v>113</v>
      </c>
      <c r="C80" s="1" t="s">
        <v>88</v>
      </c>
      <c r="D80" s="56">
        <v>11654452.488</v>
      </c>
      <c r="E80" s="1" t="s">
        <v>110</v>
      </c>
      <c r="H80" s="1" t="s">
        <v>234</v>
      </c>
      <c r="I80" s="8">
        <f>+D224</f>
        <v>0</v>
      </c>
    </row>
    <row r="81" spans="1:9" x14ac:dyDescent="0.2">
      <c r="A81" s="4">
        <v>45099</v>
      </c>
      <c r="B81" s="1" t="s">
        <v>112</v>
      </c>
      <c r="C81" s="1" t="s">
        <v>88</v>
      </c>
      <c r="D81" s="59">
        <v>1624870.9338</v>
      </c>
      <c r="E81" s="1" t="s">
        <v>110</v>
      </c>
      <c r="G81" s="8">
        <f>D81-1251908</f>
        <v>372962.9338</v>
      </c>
      <c r="H81" s="1" t="s">
        <v>251</v>
      </c>
      <c r="I81" s="8">
        <f>+D237</f>
        <v>4.8399999737739563E-2</v>
      </c>
    </row>
    <row r="82" spans="1:9" x14ac:dyDescent="0.2">
      <c r="D82" s="8">
        <f>SUM(D70:D81)</f>
        <v>15658280.081800001</v>
      </c>
      <c r="H82" s="1" t="s">
        <v>289</v>
      </c>
      <c r="I82" s="8">
        <f>+D277</f>
        <v>-0.26099999994039536</v>
      </c>
    </row>
    <row r="83" spans="1:9" x14ac:dyDescent="0.2">
      <c r="A83" s="4">
        <v>45086</v>
      </c>
      <c r="B83" s="1" t="s">
        <v>110</v>
      </c>
      <c r="C83" s="1" t="s">
        <v>362</v>
      </c>
      <c r="D83" s="8">
        <v>-15513334</v>
      </c>
      <c r="E83" s="1">
        <f>14416063+1097271</f>
        <v>15513334</v>
      </c>
      <c r="H83" s="1" t="s">
        <v>277</v>
      </c>
      <c r="I83" s="8">
        <f>+D245</f>
        <v>9.6799999941140413E-2</v>
      </c>
    </row>
    <row r="84" spans="1:9" x14ac:dyDescent="0.2">
      <c r="A84" s="4">
        <v>45112</v>
      </c>
      <c r="B84" s="1" t="s">
        <v>363</v>
      </c>
      <c r="C84" s="1" t="s">
        <v>362</v>
      </c>
      <c r="D84" s="11">
        <f>-I9</f>
        <v>-170853</v>
      </c>
      <c r="H84" s="1" t="s">
        <v>279</v>
      </c>
      <c r="I84" s="8">
        <f>+D253</f>
        <v>0.37699999997857958</v>
      </c>
    </row>
    <row r="85" spans="1:9" x14ac:dyDescent="0.2">
      <c r="D85" s="8">
        <f>SUM(D82:D84)</f>
        <v>-25906.918199999258</v>
      </c>
      <c r="H85" s="1" t="s">
        <v>311</v>
      </c>
      <c r="I85" s="8">
        <f>+D261</f>
        <v>0.17379999998956919</v>
      </c>
    </row>
    <row r="86" spans="1:9" x14ac:dyDescent="0.2">
      <c r="A86" s="4">
        <v>45112</v>
      </c>
      <c r="B86" s="1" t="s">
        <v>370</v>
      </c>
      <c r="D86" s="11">
        <f>+D50</f>
        <v>25907.769899999723</v>
      </c>
      <c r="H86" s="1" t="s">
        <v>285</v>
      </c>
      <c r="I86" s="8">
        <f>+D269</f>
        <v>-0.18160000001080334</v>
      </c>
    </row>
    <row r="87" spans="1:9" x14ac:dyDescent="0.2">
      <c r="D87" s="26">
        <f>SUM(D85:D86)</f>
        <v>0.85170000046491623</v>
      </c>
      <c r="H87" s="1" t="s">
        <v>293</v>
      </c>
      <c r="I87" s="8">
        <f>+D287</f>
        <v>0.14000000013038516</v>
      </c>
    </row>
    <row r="88" spans="1:9" x14ac:dyDescent="0.2">
      <c r="H88" s="1" t="s">
        <v>300</v>
      </c>
      <c r="I88" s="8">
        <f>+D295</f>
        <v>-5.080000008456409E-2</v>
      </c>
    </row>
    <row r="89" spans="1:9" x14ac:dyDescent="0.2">
      <c r="A89" s="4">
        <v>45089</v>
      </c>
      <c r="B89" s="1" t="s">
        <v>118</v>
      </c>
      <c r="C89" s="1" t="s">
        <v>109</v>
      </c>
      <c r="D89" s="8">
        <v>140515.20000000001</v>
      </c>
      <c r="E89" s="1" t="s">
        <v>119</v>
      </c>
      <c r="H89" s="1" t="s">
        <v>354</v>
      </c>
    </row>
    <row r="90" spans="1:9" x14ac:dyDescent="0.2">
      <c r="A90" s="4">
        <v>45089</v>
      </c>
      <c r="B90" s="1" t="s">
        <v>120</v>
      </c>
      <c r="C90" s="1" t="s">
        <v>109</v>
      </c>
      <c r="D90" s="8">
        <v>1019093</v>
      </c>
      <c r="E90" s="1" t="s">
        <v>119</v>
      </c>
      <c r="H90" s="1" t="s">
        <v>323</v>
      </c>
      <c r="I90" s="8">
        <f>+D306</f>
        <v>0</v>
      </c>
    </row>
    <row r="91" spans="1:9" x14ac:dyDescent="0.2">
      <c r="A91" s="4">
        <v>45090</v>
      </c>
      <c r="B91" s="1" t="s">
        <v>121</v>
      </c>
      <c r="C91" s="1" t="s">
        <v>57</v>
      </c>
      <c r="D91" s="8">
        <v>306620.16000000003</v>
      </c>
      <c r="E91" s="1" t="s">
        <v>119</v>
      </c>
      <c r="H91" s="1" t="s">
        <v>326</v>
      </c>
      <c r="I91" s="8">
        <f>+D333</f>
        <v>0</v>
      </c>
    </row>
    <row r="92" spans="1:9" x14ac:dyDescent="0.2">
      <c r="A92" s="4">
        <v>45093</v>
      </c>
      <c r="B92" s="1" t="s">
        <v>141</v>
      </c>
      <c r="C92" s="1" t="s">
        <v>57</v>
      </c>
      <c r="D92" s="8">
        <v>257558.84</v>
      </c>
      <c r="E92" s="1" t="s">
        <v>119</v>
      </c>
      <c r="H92" s="1" t="s">
        <v>319</v>
      </c>
      <c r="I92" s="8"/>
    </row>
    <row r="93" spans="1:9" x14ac:dyDescent="0.2">
      <c r="A93" s="4">
        <v>45096</v>
      </c>
      <c r="B93" s="1" t="s">
        <v>126</v>
      </c>
      <c r="C93" s="1" t="s">
        <v>77</v>
      </c>
      <c r="D93" s="8">
        <v>388815.84</v>
      </c>
      <c r="E93" s="1" t="s">
        <v>119</v>
      </c>
      <c r="H93" s="1" t="s">
        <v>313</v>
      </c>
      <c r="I93" s="8"/>
    </row>
    <row r="94" spans="1:9" x14ac:dyDescent="0.2">
      <c r="A94" s="4">
        <v>45097</v>
      </c>
      <c r="B94" s="1" t="s">
        <v>131</v>
      </c>
      <c r="C94" s="1" t="s">
        <v>80</v>
      </c>
      <c r="D94" s="8">
        <v>51170</v>
      </c>
      <c r="E94" s="1" t="s">
        <v>119</v>
      </c>
      <c r="H94" s="1" t="s">
        <v>340</v>
      </c>
    </row>
    <row r="95" spans="1:9" x14ac:dyDescent="0.2">
      <c r="A95" s="4">
        <v>45099</v>
      </c>
      <c r="B95" s="1" t="s">
        <v>142</v>
      </c>
      <c r="C95" s="1" t="s">
        <v>57</v>
      </c>
      <c r="D95" s="8">
        <v>47713.05</v>
      </c>
      <c r="E95" s="1" t="s">
        <v>119</v>
      </c>
      <c r="H95" s="1" t="s">
        <v>374</v>
      </c>
    </row>
    <row r="96" spans="1:9" x14ac:dyDescent="0.2">
      <c r="A96" s="4">
        <v>45104</v>
      </c>
      <c r="B96" s="1" t="s">
        <v>135</v>
      </c>
      <c r="C96" s="1" t="s">
        <v>68</v>
      </c>
      <c r="D96" s="8">
        <v>330177.40000000002</v>
      </c>
      <c r="E96" s="1" t="s">
        <v>119</v>
      </c>
      <c r="H96" s="1" t="s">
        <v>375</v>
      </c>
    </row>
    <row r="97" spans="1:8" x14ac:dyDescent="0.2">
      <c r="A97" s="4">
        <v>45104</v>
      </c>
      <c r="B97" s="1" t="s">
        <v>136</v>
      </c>
      <c r="C97" s="1" t="s">
        <v>68</v>
      </c>
      <c r="D97" s="8">
        <v>54629.33</v>
      </c>
      <c r="E97" s="1" t="s">
        <v>119</v>
      </c>
      <c r="H97" s="1" t="s">
        <v>376</v>
      </c>
    </row>
    <row r="98" spans="1:8" x14ac:dyDescent="0.2">
      <c r="A98" s="4">
        <v>45108</v>
      </c>
      <c r="B98" s="1" t="s">
        <v>124</v>
      </c>
      <c r="C98" s="1" t="s">
        <v>88</v>
      </c>
      <c r="D98" s="8">
        <v>13335810.1206</v>
      </c>
      <c r="E98" s="1" t="s">
        <v>119</v>
      </c>
      <c r="H98" s="1" t="s">
        <v>377</v>
      </c>
    </row>
    <row r="99" spans="1:8" x14ac:dyDescent="0.2">
      <c r="A99" s="4">
        <v>45108</v>
      </c>
      <c r="B99" s="1" t="s">
        <v>125</v>
      </c>
      <c r="C99" s="1" t="s">
        <v>88</v>
      </c>
      <c r="D99" s="11">
        <v>2011149.4722000002</v>
      </c>
      <c r="E99" s="1" t="s">
        <v>119</v>
      </c>
      <c r="H99" s="1" t="s">
        <v>378</v>
      </c>
    </row>
    <row r="100" spans="1:8" x14ac:dyDescent="0.2">
      <c r="D100" s="8">
        <f>SUM(D89:D99)</f>
        <v>17943252.412799999</v>
      </c>
      <c r="H100" s="1" t="s">
        <v>379</v>
      </c>
    </row>
    <row r="101" spans="1:8" x14ac:dyDescent="0.2">
      <c r="A101" s="4">
        <v>45093</v>
      </c>
      <c r="B101" s="1" t="s">
        <v>119</v>
      </c>
      <c r="C101" s="1" t="s">
        <v>362</v>
      </c>
      <c r="D101" s="8">
        <v>-17747397</v>
      </c>
      <c r="H101" s="1" t="s">
        <v>380</v>
      </c>
    </row>
    <row r="102" spans="1:8" x14ac:dyDescent="0.2">
      <c r="A102" s="4">
        <v>45112</v>
      </c>
      <c r="B102" s="1" t="s">
        <v>363</v>
      </c>
      <c r="C102" s="1" t="s">
        <v>362</v>
      </c>
      <c r="D102" s="11">
        <f>-I10</f>
        <v>-195857</v>
      </c>
      <c r="H102" s="1" t="s">
        <v>381</v>
      </c>
    </row>
    <row r="103" spans="1:8" x14ac:dyDescent="0.2">
      <c r="D103" s="26">
        <f>SUM(D100:D102)</f>
        <v>-1.5872000008821487</v>
      </c>
    </row>
    <row r="105" spans="1:8" x14ac:dyDescent="0.2">
      <c r="A105" s="4">
        <v>45105</v>
      </c>
      <c r="B105" s="1" t="s">
        <v>139</v>
      </c>
      <c r="C105" s="1" t="s">
        <v>80</v>
      </c>
      <c r="D105" s="8">
        <v>59500</v>
      </c>
      <c r="E105" s="1" t="s">
        <v>138</v>
      </c>
    </row>
    <row r="106" spans="1:8" x14ac:dyDescent="0.2">
      <c r="A106" s="4">
        <v>45107</v>
      </c>
      <c r="B106" s="1" t="s">
        <v>140</v>
      </c>
      <c r="C106" s="1" t="s">
        <v>68</v>
      </c>
      <c r="D106" s="8">
        <v>152387.83000000002</v>
      </c>
      <c r="E106" s="1" t="s">
        <v>138</v>
      </c>
    </row>
    <row r="107" spans="1:8" x14ac:dyDescent="0.2">
      <c r="A107" s="4">
        <v>45100</v>
      </c>
      <c r="B107" s="1" t="s">
        <v>143</v>
      </c>
      <c r="C107" s="1" t="s">
        <v>57</v>
      </c>
      <c r="D107" s="8">
        <v>257618.34</v>
      </c>
      <c r="E107" s="1" t="s">
        <v>138</v>
      </c>
    </row>
    <row r="108" spans="1:8" x14ac:dyDescent="0.2">
      <c r="A108" s="4">
        <v>45104</v>
      </c>
      <c r="B108" s="1" t="s">
        <v>146</v>
      </c>
      <c r="C108" s="1" t="s">
        <v>145</v>
      </c>
      <c r="D108" s="8">
        <v>3431304</v>
      </c>
      <c r="E108" s="1" t="s">
        <v>138</v>
      </c>
    </row>
    <row r="109" spans="1:8" x14ac:dyDescent="0.2">
      <c r="A109" s="4">
        <v>45104</v>
      </c>
      <c r="B109" s="1" t="s">
        <v>144</v>
      </c>
      <c r="C109" s="1" t="s">
        <v>145</v>
      </c>
      <c r="D109" s="8">
        <v>314802.59999999998</v>
      </c>
      <c r="E109" s="1" t="s">
        <v>138</v>
      </c>
    </row>
    <row r="110" spans="1:8" x14ac:dyDescent="0.2">
      <c r="A110" s="4">
        <v>45105</v>
      </c>
      <c r="B110" s="1" t="s">
        <v>147</v>
      </c>
      <c r="C110" s="1" t="s">
        <v>148</v>
      </c>
      <c r="D110" s="8">
        <v>119938.91</v>
      </c>
      <c r="E110" s="1" t="s">
        <v>138</v>
      </c>
    </row>
    <row r="111" spans="1:8" x14ac:dyDescent="0.2">
      <c r="A111" s="4">
        <v>45107</v>
      </c>
      <c r="B111" s="1" t="s">
        <v>149</v>
      </c>
      <c r="C111" s="1" t="s">
        <v>57</v>
      </c>
      <c r="D111" s="8">
        <v>65306.01</v>
      </c>
      <c r="E111" s="1" t="s">
        <v>138</v>
      </c>
    </row>
    <row r="112" spans="1:8" x14ac:dyDescent="0.2">
      <c r="A112" s="4">
        <v>45120</v>
      </c>
      <c r="B112" s="1" t="s">
        <v>137</v>
      </c>
      <c r="C112" s="1" t="s">
        <v>88</v>
      </c>
      <c r="D112" s="11">
        <v>3738188.9778</v>
      </c>
      <c r="E112" s="1" t="s">
        <v>138</v>
      </c>
    </row>
    <row r="113" spans="1:5" x14ac:dyDescent="0.2">
      <c r="D113" s="8">
        <f>SUM(D105:D112)</f>
        <v>8139046.6677999999</v>
      </c>
    </row>
    <row r="114" spans="1:5" x14ac:dyDescent="0.2">
      <c r="A114" s="4">
        <v>45104</v>
      </c>
      <c r="B114" s="1" t="s">
        <v>138</v>
      </c>
      <c r="C114" s="1" t="s">
        <v>362</v>
      </c>
      <c r="D114" s="8">
        <v>-8323420</v>
      </c>
    </row>
    <row r="115" spans="1:5" x14ac:dyDescent="0.2">
      <c r="A115" s="4">
        <v>45112</v>
      </c>
      <c r="B115" s="1" t="s">
        <v>363</v>
      </c>
      <c r="C115" s="1" t="s">
        <v>362</v>
      </c>
      <c r="D115" s="11">
        <f>-I11</f>
        <v>184373</v>
      </c>
    </row>
    <row r="116" spans="1:5" x14ac:dyDescent="0.2">
      <c r="D116" s="26">
        <f>SUM(D113:D115)</f>
        <v>-0.33220000006258488</v>
      </c>
    </row>
    <row r="118" spans="1:5" x14ac:dyDescent="0.2">
      <c r="A118" s="4">
        <v>45127</v>
      </c>
      <c r="B118" s="1" t="s">
        <v>154</v>
      </c>
      <c r="C118" s="1" t="s">
        <v>88</v>
      </c>
      <c r="D118" s="8">
        <v>193607.14860000001</v>
      </c>
      <c r="E118" s="1" t="s">
        <v>153</v>
      </c>
    </row>
    <row r="119" spans="1:5" x14ac:dyDescent="0.2">
      <c r="A119" s="4">
        <v>45120</v>
      </c>
      <c r="B119" s="1" t="s">
        <v>161</v>
      </c>
      <c r="C119" s="1" t="s">
        <v>57</v>
      </c>
      <c r="D119" s="8">
        <v>128844.87</v>
      </c>
      <c r="E119" s="1" t="s">
        <v>153</v>
      </c>
    </row>
    <row r="120" spans="1:5" x14ac:dyDescent="0.2">
      <c r="A120" s="4">
        <v>45112</v>
      </c>
      <c r="B120" s="1" t="s">
        <v>152</v>
      </c>
      <c r="C120" s="1" t="s">
        <v>65</v>
      </c>
      <c r="D120" s="11">
        <v>71479.73</v>
      </c>
      <c r="E120" s="1" t="s">
        <v>153</v>
      </c>
    </row>
    <row r="121" spans="1:5" x14ac:dyDescent="0.2">
      <c r="D121" s="8">
        <f>SUM(D118:D120)</f>
        <v>393931.74859999999</v>
      </c>
    </row>
    <row r="122" spans="1:5" x14ac:dyDescent="0.2">
      <c r="A122" s="4">
        <v>45117</v>
      </c>
      <c r="B122" s="1" t="s">
        <v>382</v>
      </c>
      <c r="C122" s="1" t="s">
        <v>362</v>
      </c>
      <c r="D122" s="8">
        <v>-265087</v>
      </c>
    </row>
    <row r="123" spans="1:5" x14ac:dyDescent="0.2">
      <c r="A123" s="4">
        <v>45124</v>
      </c>
      <c r="B123" s="1" t="s">
        <v>59</v>
      </c>
      <c r="C123" s="1" t="s">
        <v>362</v>
      </c>
      <c r="D123" s="11">
        <f>-D119</f>
        <v>-128844.87</v>
      </c>
    </row>
    <row r="124" spans="1:5" x14ac:dyDescent="0.2">
      <c r="D124" s="26">
        <f>SUM(D121:D123)</f>
        <v>-0.12140000000363216</v>
      </c>
    </row>
    <row r="126" spans="1:5" x14ac:dyDescent="0.2">
      <c r="A126" s="4">
        <v>45139</v>
      </c>
      <c r="B126" s="1" t="s">
        <v>171</v>
      </c>
      <c r="C126" s="1" t="s">
        <v>88</v>
      </c>
      <c r="D126" s="8">
        <v>166160.6483</v>
      </c>
      <c r="E126" s="1" t="s">
        <v>172</v>
      </c>
    </row>
    <row r="127" spans="1:5" x14ac:dyDescent="0.2">
      <c r="A127" s="4">
        <v>45125</v>
      </c>
      <c r="B127" s="1" t="s">
        <v>173</v>
      </c>
      <c r="C127" s="1" t="s">
        <v>71</v>
      </c>
      <c r="D127" s="8">
        <v>66380.58</v>
      </c>
      <c r="E127" s="1" t="s">
        <v>172</v>
      </c>
    </row>
    <row r="128" spans="1:5" x14ac:dyDescent="0.2">
      <c r="A128" s="4">
        <v>45126</v>
      </c>
      <c r="B128" s="1" t="s">
        <v>179</v>
      </c>
      <c r="C128" s="1" t="s">
        <v>57</v>
      </c>
      <c r="D128" s="11">
        <v>128794.89</v>
      </c>
      <c r="E128" s="1" t="s">
        <v>172</v>
      </c>
    </row>
    <row r="129" spans="1:5" x14ac:dyDescent="0.2">
      <c r="D129" s="8">
        <f>SUM(D126:D128)</f>
        <v>361336.11830000003</v>
      </c>
    </row>
    <row r="130" spans="1:5" x14ac:dyDescent="0.2">
      <c r="A130" s="4">
        <v>45124</v>
      </c>
      <c r="B130" s="1" t="s">
        <v>383</v>
      </c>
      <c r="C130" s="1" t="s">
        <v>362</v>
      </c>
      <c r="D130" s="8">
        <v>-232541</v>
      </c>
    </row>
    <row r="131" spans="1:5" x14ac:dyDescent="0.2">
      <c r="A131" s="4">
        <v>45134</v>
      </c>
      <c r="B131" s="1" t="s">
        <v>383</v>
      </c>
      <c r="C131" s="1" t="s">
        <v>362</v>
      </c>
      <c r="D131" s="11">
        <v>-128794.89</v>
      </c>
    </row>
    <row r="132" spans="1:5" x14ac:dyDescent="0.2">
      <c r="D132" s="26">
        <f>SUM(D129:D131)</f>
        <v>0.22830000003159512</v>
      </c>
    </row>
    <row r="134" spans="1:5" x14ac:dyDescent="0.2">
      <c r="A134" s="4">
        <v>45129</v>
      </c>
      <c r="B134" s="1" t="s">
        <v>157</v>
      </c>
      <c r="C134" s="1" t="s">
        <v>88</v>
      </c>
      <c r="D134" s="46">
        <v>4896617.4332999997</v>
      </c>
      <c r="E134" s="1" t="s">
        <v>156</v>
      </c>
    </row>
    <row r="135" spans="1:5" x14ac:dyDescent="0.2">
      <c r="A135" s="4">
        <v>45117</v>
      </c>
      <c r="B135" s="1" t="s">
        <v>160</v>
      </c>
      <c r="C135" s="1" t="s">
        <v>145</v>
      </c>
      <c r="D135" s="8">
        <v>737559</v>
      </c>
      <c r="E135" s="1" t="s">
        <v>156</v>
      </c>
    </row>
    <row r="136" spans="1:5" x14ac:dyDescent="0.2">
      <c r="A136" s="4">
        <v>45117</v>
      </c>
      <c r="B136" s="1" t="s">
        <v>158</v>
      </c>
      <c r="C136" s="1" t="s">
        <v>145</v>
      </c>
      <c r="D136" s="46">
        <v>315186.96999999997</v>
      </c>
      <c r="E136" s="1" t="s">
        <v>156</v>
      </c>
    </row>
    <row r="137" spans="1:5" x14ac:dyDescent="0.2">
      <c r="A137" s="4">
        <v>45114</v>
      </c>
      <c r="B137" s="1" t="s">
        <v>155</v>
      </c>
      <c r="C137" s="1" t="s">
        <v>57</v>
      </c>
      <c r="D137" s="46">
        <v>118145.58</v>
      </c>
      <c r="E137" s="1" t="s">
        <v>156</v>
      </c>
    </row>
    <row r="138" spans="1:5" x14ac:dyDescent="0.2">
      <c r="A138" s="4">
        <v>45121</v>
      </c>
      <c r="B138" s="1" t="s">
        <v>163</v>
      </c>
      <c r="C138" s="1" t="s">
        <v>164</v>
      </c>
      <c r="D138" s="46">
        <v>60976.79</v>
      </c>
      <c r="E138" s="1" t="s">
        <v>156</v>
      </c>
    </row>
    <row r="139" spans="1:5" x14ac:dyDescent="0.2">
      <c r="A139" s="4">
        <v>45123</v>
      </c>
      <c r="B139" s="1" t="s">
        <v>165</v>
      </c>
      <c r="C139" s="1" t="s">
        <v>166</v>
      </c>
      <c r="D139" s="46">
        <v>47600</v>
      </c>
      <c r="E139" s="1" t="s">
        <v>156</v>
      </c>
    </row>
    <row r="140" spans="1:5" x14ac:dyDescent="0.2">
      <c r="A140" s="4">
        <v>45124</v>
      </c>
      <c r="B140" s="1" t="s">
        <v>169</v>
      </c>
      <c r="C140" s="1" t="s">
        <v>170</v>
      </c>
      <c r="D140" s="46">
        <v>171866.94</v>
      </c>
      <c r="E140" s="1" t="s">
        <v>156</v>
      </c>
    </row>
    <row r="141" spans="1:5" x14ac:dyDescent="0.2">
      <c r="A141" s="4">
        <v>45120</v>
      </c>
      <c r="B141" s="1" t="s">
        <v>162</v>
      </c>
      <c r="C141" s="1" t="s">
        <v>57</v>
      </c>
      <c r="D141" s="48">
        <v>257689.74</v>
      </c>
      <c r="E141" s="1" t="s">
        <v>156</v>
      </c>
    </row>
    <row r="142" spans="1:5" x14ac:dyDescent="0.2">
      <c r="D142" s="8">
        <f>SUM(D134:D141)</f>
        <v>6605642.4533000002</v>
      </c>
    </row>
    <row r="143" spans="1:5" x14ac:dyDescent="0.2">
      <c r="A143" s="4">
        <v>45117</v>
      </c>
      <c r="B143" s="1" t="s">
        <v>384</v>
      </c>
      <c r="C143" s="1" t="s">
        <v>362</v>
      </c>
      <c r="D143" s="8">
        <v>-6760300</v>
      </c>
    </row>
    <row r="144" spans="1:5" x14ac:dyDescent="0.2">
      <c r="A144" s="4">
        <v>45132</v>
      </c>
      <c r="B144" s="1" t="s">
        <v>363</v>
      </c>
      <c r="C144" s="1" t="s">
        <v>362</v>
      </c>
      <c r="D144" s="48">
        <f>-I15</f>
        <v>154547</v>
      </c>
    </row>
    <row r="145" spans="1:5" x14ac:dyDescent="0.2">
      <c r="D145" s="25">
        <f>SUM(D142:D144)</f>
        <v>-110.54669999983162</v>
      </c>
      <c r="E145" s="1" t="s">
        <v>385</v>
      </c>
    </row>
    <row r="147" spans="1:5" x14ac:dyDescent="0.2">
      <c r="A147" s="4">
        <v>45140</v>
      </c>
      <c r="B147" s="1" t="s">
        <v>178</v>
      </c>
      <c r="C147" s="1" t="s">
        <v>88</v>
      </c>
      <c r="D147" s="8">
        <v>1862141.3301000001</v>
      </c>
      <c r="E147" s="1" t="s">
        <v>168</v>
      </c>
    </row>
    <row r="148" spans="1:5" x14ac:dyDescent="0.2">
      <c r="A148" s="4">
        <v>45127</v>
      </c>
      <c r="B148" s="1" t="s">
        <v>181</v>
      </c>
      <c r="C148" s="1" t="s">
        <v>145</v>
      </c>
      <c r="D148" s="8">
        <v>1914364</v>
      </c>
      <c r="E148" s="1" t="s">
        <v>168</v>
      </c>
    </row>
    <row r="149" spans="1:5" x14ac:dyDescent="0.2">
      <c r="A149" s="4">
        <v>45127</v>
      </c>
      <c r="B149" s="1" t="s">
        <v>180</v>
      </c>
      <c r="C149" s="1" t="s">
        <v>145</v>
      </c>
      <c r="D149" s="8">
        <v>319467.40000000002</v>
      </c>
      <c r="E149" s="1" t="s">
        <v>168</v>
      </c>
    </row>
    <row r="150" spans="1:5" x14ac:dyDescent="0.2">
      <c r="A150" s="4">
        <v>45124</v>
      </c>
      <c r="B150" s="1" t="s">
        <v>167</v>
      </c>
      <c r="C150" s="1" t="s">
        <v>57</v>
      </c>
      <c r="D150" s="8">
        <v>48399.68</v>
      </c>
      <c r="E150" s="1" t="s">
        <v>168</v>
      </c>
    </row>
    <row r="151" spans="1:5" x14ac:dyDescent="0.2">
      <c r="A151" s="4">
        <v>45133</v>
      </c>
      <c r="B151" s="1" t="s">
        <v>200</v>
      </c>
      <c r="C151" s="1" t="s">
        <v>148</v>
      </c>
      <c r="D151" s="8">
        <v>70244.509999999995</v>
      </c>
      <c r="E151" s="1" t="s">
        <v>168</v>
      </c>
    </row>
    <row r="152" spans="1:5" x14ac:dyDescent="0.2">
      <c r="A152" s="4">
        <v>45133</v>
      </c>
      <c r="B152" s="1" t="s">
        <v>188</v>
      </c>
      <c r="C152" s="1" t="s">
        <v>166</v>
      </c>
      <c r="D152" s="8">
        <v>41650</v>
      </c>
      <c r="E152" s="1" t="s">
        <v>168</v>
      </c>
    </row>
    <row r="153" spans="1:5" x14ac:dyDescent="0.2">
      <c r="A153" s="4">
        <v>45138</v>
      </c>
      <c r="B153" s="1" t="s">
        <v>193</v>
      </c>
      <c r="C153" s="1" t="s">
        <v>170</v>
      </c>
      <c r="D153" s="8">
        <v>152209.33000000002</v>
      </c>
      <c r="E153" s="1" t="s">
        <v>168</v>
      </c>
    </row>
    <row r="154" spans="1:5" x14ac:dyDescent="0.2">
      <c r="A154" s="4">
        <v>45131</v>
      </c>
      <c r="B154" s="1" t="s">
        <v>197</v>
      </c>
      <c r="C154" s="1" t="s">
        <v>57</v>
      </c>
      <c r="D154" s="11">
        <v>257506.48</v>
      </c>
      <c r="E154" s="1" t="s">
        <v>168</v>
      </c>
    </row>
    <row r="155" spans="1:5" x14ac:dyDescent="0.2">
      <c r="D155" s="8">
        <f>SUM(D147:D154)</f>
        <v>4665982.7301000003</v>
      </c>
    </row>
    <row r="156" spans="1:5" x14ac:dyDescent="0.2">
      <c r="A156" s="4">
        <v>45132</v>
      </c>
      <c r="B156" s="1" t="s">
        <v>386</v>
      </c>
      <c r="C156" s="1" t="s">
        <v>362</v>
      </c>
      <c r="D156" s="8">
        <f>-I14</f>
        <v>-4923872</v>
      </c>
    </row>
    <row r="157" spans="1:5" x14ac:dyDescent="0.2">
      <c r="A157" s="4">
        <v>45156</v>
      </c>
      <c r="B157" s="1" t="s">
        <v>363</v>
      </c>
      <c r="C157" s="1" t="s">
        <v>362</v>
      </c>
      <c r="D157" s="11">
        <f>-I19</f>
        <v>257891</v>
      </c>
    </row>
    <row r="158" spans="1:5" x14ac:dyDescent="0.2">
      <c r="D158" s="26">
        <f>SUM(D155:D157)</f>
        <v>1.7301000002771616</v>
      </c>
    </row>
    <row r="160" spans="1:5" x14ac:dyDescent="0.2">
      <c r="A160" s="4">
        <v>45128</v>
      </c>
      <c r="B160" s="1" t="s">
        <v>192</v>
      </c>
      <c r="C160" s="1" t="s">
        <v>88</v>
      </c>
      <c r="D160" s="8">
        <v>766083.32059999998</v>
      </c>
      <c r="E160" s="1" t="s">
        <v>185</v>
      </c>
    </row>
    <row r="161" spans="1:5" x14ac:dyDescent="0.2">
      <c r="A161" s="4">
        <v>45128</v>
      </c>
      <c r="B161" s="1" t="s">
        <v>191</v>
      </c>
      <c r="C161" s="1" t="s">
        <v>88</v>
      </c>
      <c r="D161" s="8">
        <v>587068.38779999991</v>
      </c>
      <c r="E161" s="1" t="s">
        <v>185</v>
      </c>
    </row>
    <row r="162" spans="1:5" x14ac:dyDescent="0.2">
      <c r="A162" s="4">
        <v>45131</v>
      </c>
      <c r="B162" s="1" t="s">
        <v>186</v>
      </c>
      <c r="C162" s="1" t="s">
        <v>184</v>
      </c>
      <c r="D162" s="8">
        <v>384784</v>
      </c>
      <c r="E162" s="1" t="s">
        <v>185</v>
      </c>
    </row>
    <row r="163" spans="1:5" x14ac:dyDescent="0.2">
      <c r="A163" s="4">
        <v>45131</v>
      </c>
      <c r="B163" s="1" t="s">
        <v>183</v>
      </c>
      <c r="C163" s="1" t="s">
        <v>184</v>
      </c>
      <c r="D163" s="8">
        <v>47600</v>
      </c>
      <c r="E163" s="1" t="s">
        <v>185</v>
      </c>
    </row>
    <row r="164" spans="1:5" x14ac:dyDescent="0.2">
      <c r="A164" s="4">
        <v>45131</v>
      </c>
      <c r="B164" s="1" t="s">
        <v>198</v>
      </c>
      <c r="C164" s="1" t="s">
        <v>57</v>
      </c>
      <c r="D164" s="8">
        <v>48906.62</v>
      </c>
      <c r="E164" s="1" t="s">
        <v>185</v>
      </c>
    </row>
    <row r="165" spans="1:5" x14ac:dyDescent="0.2">
      <c r="A165" s="4">
        <v>45133</v>
      </c>
      <c r="B165" s="1" t="s">
        <v>199</v>
      </c>
      <c r="C165" s="1" t="s">
        <v>57</v>
      </c>
      <c r="D165" s="8">
        <v>49319.55</v>
      </c>
      <c r="E165" s="1" t="s">
        <v>185</v>
      </c>
    </row>
    <row r="166" spans="1:5" x14ac:dyDescent="0.2">
      <c r="A166" s="4">
        <v>45134</v>
      </c>
      <c r="B166" s="1" t="s">
        <v>189</v>
      </c>
      <c r="C166" s="1" t="s">
        <v>77</v>
      </c>
      <c r="D166" s="8">
        <v>94534.790000000008</v>
      </c>
      <c r="E166" s="1" t="s">
        <v>185</v>
      </c>
    </row>
    <row r="167" spans="1:5" x14ac:dyDescent="0.2">
      <c r="A167" s="4">
        <v>45134</v>
      </c>
      <c r="B167" s="1" t="s">
        <v>190</v>
      </c>
      <c r="C167" s="1" t="s">
        <v>166</v>
      </c>
      <c r="D167" s="8">
        <v>47600</v>
      </c>
      <c r="E167" s="1" t="s">
        <v>185</v>
      </c>
    </row>
    <row r="168" spans="1:5" x14ac:dyDescent="0.2">
      <c r="A168" s="4">
        <v>45138</v>
      </c>
      <c r="B168" s="1" t="s">
        <v>194</v>
      </c>
      <c r="C168" s="1" t="s">
        <v>170</v>
      </c>
      <c r="D168" s="8">
        <v>152209.33000000002</v>
      </c>
      <c r="E168" s="1" t="s">
        <v>185</v>
      </c>
    </row>
    <row r="169" spans="1:5" x14ac:dyDescent="0.2">
      <c r="A169" s="4">
        <v>45138</v>
      </c>
      <c r="B169" s="1" t="s">
        <v>195</v>
      </c>
      <c r="C169" s="1" t="s">
        <v>170</v>
      </c>
      <c r="D169" s="8">
        <v>25963.42</v>
      </c>
      <c r="E169" s="1" t="s">
        <v>185</v>
      </c>
    </row>
    <row r="170" spans="1:5" x14ac:dyDescent="0.2">
      <c r="A170" s="4">
        <v>45131</v>
      </c>
      <c r="B170" s="1" t="s">
        <v>196</v>
      </c>
      <c r="C170" s="1" t="s">
        <v>57</v>
      </c>
      <c r="D170" s="11">
        <v>257506.48</v>
      </c>
      <c r="E170" s="1" t="s">
        <v>185</v>
      </c>
    </row>
    <row r="171" spans="1:5" x14ac:dyDescent="0.2">
      <c r="A171" s="1"/>
      <c r="D171" s="8">
        <f>SUM(D160:D170)</f>
        <v>2461575.8983999998</v>
      </c>
    </row>
    <row r="172" spans="1:5" x14ac:dyDescent="0.2">
      <c r="A172" s="4">
        <v>45132</v>
      </c>
      <c r="B172" s="1" t="s">
        <v>387</v>
      </c>
      <c r="C172" s="1" t="s">
        <v>362</v>
      </c>
      <c r="D172" s="8">
        <v>-2468935</v>
      </c>
    </row>
    <row r="173" spans="1:5" x14ac:dyDescent="0.2">
      <c r="A173" s="4">
        <v>45156</v>
      </c>
      <c r="B173" s="1" t="s">
        <v>363</v>
      </c>
      <c r="C173" s="1" t="s">
        <v>362</v>
      </c>
      <c r="D173" s="11">
        <f>-I20</f>
        <v>7359</v>
      </c>
    </row>
    <row r="174" spans="1:5" x14ac:dyDescent="0.2">
      <c r="A174" s="1"/>
      <c r="D174" s="26">
        <f>SUM(D171:D173)</f>
        <v>-0.10160000016912818</v>
      </c>
    </row>
    <row r="175" spans="1:5" x14ac:dyDescent="0.2">
      <c r="A175" s="1"/>
      <c r="D175" s="1"/>
    </row>
    <row r="176" spans="1:5" x14ac:dyDescent="0.2">
      <c r="A176" s="4">
        <v>45146</v>
      </c>
      <c r="B176" s="1" t="s">
        <v>206</v>
      </c>
      <c r="C176" s="1" t="s">
        <v>88</v>
      </c>
      <c r="D176" s="8">
        <v>13955554.591399999</v>
      </c>
      <c r="E176" s="1" t="s">
        <v>203</v>
      </c>
    </row>
    <row r="177" spans="1:7" x14ac:dyDescent="0.2">
      <c r="A177" s="4">
        <v>45146</v>
      </c>
      <c r="B177" s="1" t="s">
        <v>207</v>
      </c>
      <c r="C177" s="1" t="s">
        <v>88</v>
      </c>
      <c r="D177" s="8">
        <v>268643.23230000003</v>
      </c>
      <c r="E177" s="1" t="s">
        <v>203</v>
      </c>
    </row>
    <row r="178" spans="1:7" x14ac:dyDescent="0.2">
      <c r="A178" s="4">
        <v>45140</v>
      </c>
      <c r="B178" s="1" t="s">
        <v>205</v>
      </c>
      <c r="C178" s="1" t="s">
        <v>145</v>
      </c>
      <c r="D178" s="8">
        <v>1829383</v>
      </c>
      <c r="E178" s="1" t="s">
        <v>203</v>
      </c>
    </row>
    <row r="179" spans="1:7" x14ac:dyDescent="0.2">
      <c r="A179" s="4">
        <v>45140</v>
      </c>
      <c r="B179" s="1" t="s">
        <v>202</v>
      </c>
      <c r="C179" s="1" t="s">
        <v>145</v>
      </c>
      <c r="D179" s="8">
        <v>325237.71000000002</v>
      </c>
      <c r="E179" s="1" t="s">
        <v>203</v>
      </c>
    </row>
    <row r="180" spans="1:7" x14ac:dyDescent="0.2">
      <c r="A180" s="4">
        <v>45146</v>
      </c>
      <c r="B180" s="1" t="s">
        <v>208</v>
      </c>
      <c r="C180" s="1" t="s">
        <v>77</v>
      </c>
      <c r="D180" s="8">
        <v>364752.85</v>
      </c>
      <c r="E180" s="1" t="s">
        <v>203</v>
      </c>
    </row>
    <row r="181" spans="1:7" x14ac:dyDescent="0.2">
      <c r="A181" s="4">
        <v>45170</v>
      </c>
      <c r="B181" s="1" t="s">
        <v>237</v>
      </c>
      <c r="C181" s="1" t="s">
        <v>57</v>
      </c>
      <c r="D181" s="8">
        <v>301342.51</v>
      </c>
      <c r="E181" s="1" t="s">
        <v>203</v>
      </c>
    </row>
    <row r="182" spans="1:7" x14ac:dyDescent="0.2">
      <c r="A182" s="4">
        <v>45146</v>
      </c>
      <c r="B182" s="1" t="s">
        <v>209</v>
      </c>
      <c r="C182" s="1" t="s">
        <v>166</v>
      </c>
      <c r="D182" s="8">
        <v>51170</v>
      </c>
      <c r="E182" s="1" t="s">
        <v>203</v>
      </c>
    </row>
    <row r="183" spans="1:7" x14ac:dyDescent="0.2">
      <c r="A183" s="4">
        <v>45152</v>
      </c>
      <c r="B183" s="1" t="s">
        <v>213</v>
      </c>
      <c r="C183" s="1" t="s">
        <v>170</v>
      </c>
      <c r="D183" s="8">
        <v>343762.44</v>
      </c>
      <c r="E183" s="1" t="s">
        <v>203</v>
      </c>
    </row>
    <row r="184" spans="1:7" x14ac:dyDescent="0.2">
      <c r="A184" s="4">
        <v>45152</v>
      </c>
      <c r="B184" s="1" t="s">
        <v>214</v>
      </c>
      <c r="C184" s="1" t="s">
        <v>170</v>
      </c>
      <c r="D184" s="8">
        <v>26560.799999999999</v>
      </c>
      <c r="E184" s="1" t="s">
        <v>203</v>
      </c>
    </row>
    <row r="185" spans="1:7" x14ac:dyDescent="0.2">
      <c r="A185" s="4">
        <v>45170</v>
      </c>
      <c r="B185" s="1" t="s">
        <v>236</v>
      </c>
      <c r="C185" s="1" t="s">
        <v>57</v>
      </c>
      <c r="D185" s="11">
        <v>258003.9</v>
      </c>
      <c r="E185" s="1" t="s">
        <v>203</v>
      </c>
      <c r="G185" s="8"/>
    </row>
    <row r="186" spans="1:7" x14ac:dyDescent="0.2">
      <c r="D186" s="8">
        <f>SUM(D176:D185)</f>
        <v>17724411.0337</v>
      </c>
    </row>
    <row r="187" spans="1:7" x14ac:dyDescent="0.2">
      <c r="A187" s="4">
        <v>45141</v>
      </c>
      <c r="B187" s="1" t="s">
        <v>388</v>
      </c>
      <c r="C187" s="1" t="s">
        <v>362</v>
      </c>
      <c r="D187" s="8">
        <v>-1554300</v>
      </c>
    </row>
    <row r="188" spans="1:7" x14ac:dyDescent="0.2">
      <c r="A188" s="4">
        <v>45141</v>
      </c>
      <c r="B188" s="1" t="s">
        <v>388</v>
      </c>
      <c r="C188" s="1" t="s">
        <v>362</v>
      </c>
      <c r="D188" s="8">
        <v>-16034590</v>
      </c>
    </row>
    <row r="189" spans="1:7" x14ac:dyDescent="0.2">
      <c r="A189" s="4">
        <v>45182</v>
      </c>
      <c r="B189" s="1" t="s">
        <v>363</v>
      </c>
      <c r="C189" s="1" t="s">
        <v>362</v>
      </c>
      <c r="D189" s="11">
        <f>-I24</f>
        <v>-135521</v>
      </c>
    </row>
    <row r="190" spans="1:7" x14ac:dyDescent="0.2">
      <c r="D190" s="26">
        <f>SUM(D186:D189)</f>
        <v>3.3700000494718552E-2</v>
      </c>
    </row>
    <row r="192" spans="1:7" x14ac:dyDescent="0.2">
      <c r="A192" s="4">
        <v>45146</v>
      </c>
      <c r="B192" s="1" t="s">
        <v>210</v>
      </c>
      <c r="C192" s="1" t="s">
        <v>88</v>
      </c>
      <c r="D192" s="8">
        <v>463796.35489999998</v>
      </c>
      <c r="E192" s="1" t="s">
        <v>211</v>
      </c>
    </row>
    <row r="193" spans="1:7" x14ac:dyDescent="0.2">
      <c r="A193" s="4">
        <v>45147</v>
      </c>
      <c r="B193" s="1" t="s">
        <v>212</v>
      </c>
      <c r="C193" s="1" t="s">
        <v>71</v>
      </c>
      <c r="D193" s="8">
        <v>141692.10999999999</v>
      </c>
      <c r="E193" s="1" t="s">
        <v>211</v>
      </c>
    </row>
    <row r="194" spans="1:7" x14ac:dyDescent="0.2">
      <c r="A194" s="4">
        <v>45155</v>
      </c>
      <c r="B194" s="1" t="s">
        <v>220</v>
      </c>
      <c r="C194" s="1" t="s">
        <v>57</v>
      </c>
      <c r="D194" s="11">
        <v>128753.24</v>
      </c>
      <c r="E194" s="1" t="s">
        <v>211</v>
      </c>
    </row>
    <row r="195" spans="1:7" x14ac:dyDescent="0.2">
      <c r="D195" s="8">
        <f>SUM(D192:D194)</f>
        <v>734241.70490000001</v>
      </c>
    </row>
    <row r="196" spans="1:7" x14ac:dyDescent="0.2">
      <c r="A196" s="4">
        <v>45146</v>
      </c>
      <c r="B196" s="1" t="s">
        <v>389</v>
      </c>
      <c r="C196" s="1" t="s">
        <v>362</v>
      </c>
      <c r="D196" s="8">
        <v>-605489</v>
      </c>
    </row>
    <row r="197" spans="1:7" x14ac:dyDescent="0.2">
      <c r="A197" s="4">
        <v>45167</v>
      </c>
      <c r="B197" s="1" t="s">
        <v>389</v>
      </c>
      <c r="C197" s="1" t="s">
        <v>362</v>
      </c>
      <c r="D197" s="11">
        <v>-128753.24</v>
      </c>
    </row>
    <row r="198" spans="1:7" x14ac:dyDescent="0.2">
      <c r="D198" s="26">
        <f>SUM(D195:D197)</f>
        <v>-0.53509999999369029</v>
      </c>
    </row>
    <row r="200" spans="1:7" x14ac:dyDescent="0.2">
      <c r="A200" s="4">
        <v>45156</v>
      </c>
      <c r="B200" s="1" t="s">
        <v>221</v>
      </c>
      <c r="C200" s="1" t="s">
        <v>88</v>
      </c>
      <c r="D200" s="56">
        <v>2953877.8407999999</v>
      </c>
      <c r="E200" s="1" t="s">
        <v>216</v>
      </c>
    </row>
    <row r="201" spans="1:7" x14ac:dyDescent="0.2">
      <c r="A201" s="4">
        <v>45156</v>
      </c>
      <c r="B201" s="1" t="s">
        <v>222</v>
      </c>
      <c r="C201" s="1" t="s">
        <v>88</v>
      </c>
      <c r="D201" s="56">
        <v>4688127.1363000004</v>
      </c>
      <c r="E201" s="1" t="s">
        <v>216</v>
      </c>
      <c r="G201" s="8">
        <f>D201-3612043</f>
        <v>1076084.1363000004</v>
      </c>
    </row>
    <row r="202" spans="1:7" x14ac:dyDescent="0.2">
      <c r="A202" s="4">
        <v>45154</v>
      </c>
      <c r="B202" s="1" t="s">
        <v>219</v>
      </c>
      <c r="C202" s="1" t="s">
        <v>145</v>
      </c>
      <c r="D202" s="8">
        <v>637622</v>
      </c>
      <c r="E202" s="1" t="s">
        <v>216</v>
      </c>
    </row>
    <row r="203" spans="1:7" x14ac:dyDescent="0.2">
      <c r="A203" s="4">
        <v>45154</v>
      </c>
      <c r="B203" s="1" t="s">
        <v>215</v>
      </c>
      <c r="C203" s="1" t="s">
        <v>145</v>
      </c>
      <c r="D203" s="56">
        <v>336718.83</v>
      </c>
      <c r="E203" s="1" t="s">
        <v>216</v>
      </c>
    </row>
    <row r="204" spans="1:7" x14ac:dyDescent="0.2">
      <c r="A204" s="4">
        <v>45167</v>
      </c>
      <c r="B204" s="1" t="s">
        <v>229</v>
      </c>
      <c r="C204" s="1" t="s">
        <v>57</v>
      </c>
      <c r="D204" s="56">
        <v>135308.95000000001</v>
      </c>
      <c r="E204" s="1" t="s">
        <v>216</v>
      </c>
    </row>
    <row r="205" spans="1:7" x14ac:dyDescent="0.2">
      <c r="A205" s="4">
        <v>45159</v>
      </c>
      <c r="B205" s="1" t="s">
        <v>223</v>
      </c>
      <c r="C205" s="1" t="s">
        <v>148</v>
      </c>
      <c r="D205" s="56">
        <v>165746.76999999999</v>
      </c>
      <c r="E205" s="1" t="s">
        <v>216</v>
      </c>
    </row>
    <row r="206" spans="1:7" x14ac:dyDescent="0.2">
      <c r="A206" s="4">
        <v>45159</v>
      </c>
      <c r="B206" s="1" t="s">
        <v>224</v>
      </c>
      <c r="C206" s="1" t="s">
        <v>166</v>
      </c>
      <c r="D206" s="56">
        <v>41650</v>
      </c>
      <c r="E206" s="1" t="s">
        <v>216</v>
      </c>
    </row>
    <row r="207" spans="1:7" x14ac:dyDescent="0.2">
      <c r="A207" s="4">
        <v>45166</v>
      </c>
      <c r="B207" s="1" t="s">
        <v>226</v>
      </c>
      <c r="C207" s="1" t="s">
        <v>170</v>
      </c>
      <c r="D207" s="56">
        <v>155795.99</v>
      </c>
      <c r="E207" s="1" t="s">
        <v>216</v>
      </c>
    </row>
    <row r="208" spans="1:7" x14ac:dyDescent="0.2">
      <c r="A208" s="4">
        <v>45166</v>
      </c>
      <c r="B208" s="1" t="s">
        <v>227</v>
      </c>
      <c r="C208" s="1" t="s">
        <v>170</v>
      </c>
      <c r="D208" s="56">
        <v>26560.799999999999</v>
      </c>
      <c r="E208" s="1" t="s">
        <v>216</v>
      </c>
    </row>
    <row r="209" spans="1:7" x14ac:dyDescent="0.2">
      <c r="A209" s="4">
        <v>45173</v>
      </c>
      <c r="B209" s="1" t="s">
        <v>240</v>
      </c>
      <c r="C209" s="1" t="s">
        <v>57</v>
      </c>
      <c r="D209" s="59">
        <v>258103.86</v>
      </c>
      <c r="E209" s="1" t="s">
        <v>216</v>
      </c>
    </row>
    <row r="210" spans="1:7" x14ac:dyDescent="0.2">
      <c r="D210" s="8">
        <f>SUM(D200:D209)</f>
        <v>9399512.177099999</v>
      </c>
    </row>
    <row r="211" spans="1:7" x14ac:dyDescent="0.2">
      <c r="A211" s="4">
        <v>45156</v>
      </c>
      <c r="B211" s="1" t="s">
        <v>390</v>
      </c>
      <c r="C211" s="1" t="s">
        <v>362</v>
      </c>
      <c r="D211" s="8">
        <f>-I18</f>
        <v>-9319428</v>
      </c>
    </row>
    <row r="212" spans="1:7" x14ac:dyDescent="0.2">
      <c r="A212" s="4">
        <v>45182</v>
      </c>
      <c r="B212" s="1" t="s">
        <v>363</v>
      </c>
      <c r="C212" s="1" t="s">
        <v>362</v>
      </c>
      <c r="D212" s="11">
        <f>-I23</f>
        <v>-80084</v>
      </c>
    </row>
    <row r="213" spans="1:7" x14ac:dyDescent="0.2">
      <c r="D213" s="26">
        <f>SUM(D210:D212)</f>
        <v>0.17709999904036522</v>
      </c>
    </row>
    <row r="215" spans="1:7" x14ac:dyDescent="0.2">
      <c r="A215" s="4">
        <v>45170</v>
      </c>
      <c r="B215" s="1" t="s">
        <v>238</v>
      </c>
      <c r="C215" s="1" t="s">
        <v>88</v>
      </c>
      <c r="D215" s="56">
        <v>1095185.3095</v>
      </c>
      <c r="E215" s="1" t="s">
        <v>234</v>
      </c>
      <c r="G215" s="8">
        <f>D215-843800</f>
        <v>251385.30949999997</v>
      </c>
    </row>
    <row r="216" spans="1:7" x14ac:dyDescent="0.2">
      <c r="A216" s="4">
        <v>45169</v>
      </c>
      <c r="B216" s="1" t="s">
        <v>233</v>
      </c>
      <c r="C216" s="1" t="s">
        <v>57</v>
      </c>
      <c r="D216" s="56">
        <v>50826.09</v>
      </c>
      <c r="E216" s="1" t="s">
        <v>234</v>
      </c>
    </row>
    <row r="217" spans="1:7" x14ac:dyDescent="0.2">
      <c r="A217" s="4">
        <v>45170</v>
      </c>
      <c r="B217" s="1" t="s">
        <v>235</v>
      </c>
      <c r="C217" s="1" t="s">
        <v>77</v>
      </c>
      <c r="D217" s="56">
        <v>52557.54</v>
      </c>
      <c r="E217" s="1" t="s">
        <v>234</v>
      </c>
    </row>
    <row r="218" spans="1:7" x14ac:dyDescent="0.2">
      <c r="A218" s="4">
        <v>45177</v>
      </c>
      <c r="B218" s="1" t="s">
        <v>241</v>
      </c>
      <c r="C218" s="1" t="s">
        <v>170</v>
      </c>
      <c r="D218" s="56">
        <v>160306.09</v>
      </c>
      <c r="E218" s="1" t="s">
        <v>234</v>
      </c>
    </row>
    <row r="219" spans="1:7" x14ac:dyDescent="0.2">
      <c r="A219" s="4">
        <v>45181</v>
      </c>
      <c r="B219" s="1" t="s">
        <v>245</v>
      </c>
      <c r="C219" s="1" t="s">
        <v>57</v>
      </c>
      <c r="D219" s="59">
        <v>258295.45</v>
      </c>
      <c r="E219" s="1" t="s">
        <v>234</v>
      </c>
      <c r="F219" s="8"/>
    </row>
    <row r="220" spans="1:7" x14ac:dyDescent="0.2">
      <c r="D220" s="8">
        <f>SUM(D215:D219)</f>
        <v>1617170.4795000001</v>
      </c>
    </row>
    <row r="221" spans="1:7" x14ac:dyDescent="0.2">
      <c r="A221" s="4">
        <v>45170</v>
      </c>
      <c r="B221" s="1" t="s">
        <v>391</v>
      </c>
      <c r="C221" s="1" t="s">
        <v>362</v>
      </c>
      <c r="D221" s="8">
        <v>-1926048</v>
      </c>
      <c r="E221" s="8"/>
    </row>
    <row r="222" spans="1:7" x14ac:dyDescent="0.2">
      <c r="A222" s="4">
        <v>45191</v>
      </c>
      <c r="B222" s="1" t="s">
        <v>363</v>
      </c>
      <c r="C222" s="1" t="s">
        <v>362</v>
      </c>
      <c r="D222" s="8">
        <f>-I30</f>
        <v>94678</v>
      </c>
    </row>
    <row r="223" spans="1:7" x14ac:dyDescent="0.2">
      <c r="A223" s="4">
        <v>45210</v>
      </c>
      <c r="B223" s="1" t="s">
        <v>363</v>
      </c>
      <c r="C223" s="1" t="s">
        <v>362</v>
      </c>
      <c r="D223" s="11">
        <v>214199.52050000001</v>
      </c>
    </row>
    <row r="224" spans="1:7" x14ac:dyDescent="0.2">
      <c r="D224" s="26">
        <f>SUM(D220:D223)</f>
        <v>0</v>
      </c>
    </row>
    <row r="226" spans="1:7" x14ac:dyDescent="0.2">
      <c r="A226" s="4">
        <v>45194</v>
      </c>
      <c r="B226" s="1" t="s">
        <v>250</v>
      </c>
      <c r="C226" s="1" t="s">
        <v>88</v>
      </c>
      <c r="D226" s="57">
        <v>1872770.7384000001</v>
      </c>
      <c r="E226" s="47" t="s">
        <v>251</v>
      </c>
      <c r="G226" s="8">
        <f>D226-1442904</f>
        <v>429866.73840000015</v>
      </c>
    </row>
    <row r="227" spans="1:7" x14ac:dyDescent="0.2">
      <c r="A227" s="4">
        <v>45194</v>
      </c>
      <c r="B227" s="1" t="s">
        <v>257</v>
      </c>
      <c r="C227" s="1" t="s">
        <v>145</v>
      </c>
      <c r="D227" s="57">
        <v>1297980</v>
      </c>
      <c r="E227" s="47" t="s">
        <v>251</v>
      </c>
    </row>
    <row r="228" spans="1:7" x14ac:dyDescent="0.2">
      <c r="A228" s="4">
        <v>45194</v>
      </c>
      <c r="B228" s="1" t="s">
        <v>256</v>
      </c>
      <c r="C228" s="1" t="s">
        <v>145</v>
      </c>
      <c r="D228" s="57">
        <v>348968.69</v>
      </c>
      <c r="E228" s="47" t="s">
        <v>251</v>
      </c>
    </row>
    <row r="229" spans="1:7" x14ac:dyDescent="0.2">
      <c r="A229" s="4">
        <v>45195</v>
      </c>
      <c r="B229" s="1" t="s">
        <v>258</v>
      </c>
      <c r="C229" s="1" t="s">
        <v>57</v>
      </c>
      <c r="D229" s="57">
        <v>53558.33</v>
      </c>
      <c r="E229" s="47" t="s">
        <v>251</v>
      </c>
    </row>
    <row r="230" spans="1:7" x14ac:dyDescent="0.2">
      <c r="A230" s="4">
        <v>45196</v>
      </c>
      <c r="B230" s="1" t="s">
        <v>253</v>
      </c>
      <c r="C230" s="1" t="s">
        <v>77</v>
      </c>
      <c r="D230" s="57">
        <v>50516.69</v>
      </c>
      <c r="E230" s="47" t="s">
        <v>251</v>
      </c>
    </row>
    <row r="231" spans="1:7" x14ac:dyDescent="0.2">
      <c r="A231" s="4">
        <v>45196</v>
      </c>
      <c r="B231" s="1" t="s">
        <v>254</v>
      </c>
      <c r="C231" s="1" t="s">
        <v>166</v>
      </c>
      <c r="D231" s="57">
        <v>29750</v>
      </c>
      <c r="E231" s="47" t="s">
        <v>251</v>
      </c>
    </row>
    <row r="232" spans="1:7" x14ac:dyDescent="0.2">
      <c r="A232" s="4">
        <v>45198</v>
      </c>
      <c r="B232" s="1" t="s">
        <v>255</v>
      </c>
      <c r="C232" s="1" t="s">
        <v>170</v>
      </c>
      <c r="D232" s="57">
        <v>160306.09</v>
      </c>
      <c r="E232" s="47" t="s">
        <v>251</v>
      </c>
    </row>
    <row r="233" spans="1:7" x14ac:dyDescent="0.2">
      <c r="A233" s="4">
        <v>45205</v>
      </c>
      <c r="B233" s="1" t="s">
        <v>272</v>
      </c>
      <c r="C233" s="1" t="s">
        <v>57</v>
      </c>
      <c r="D233" s="58">
        <v>258502.51</v>
      </c>
      <c r="E233" s="47" t="s">
        <v>251</v>
      </c>
    </row>
    <row r="234" spans="1:7" x14ac:dyDescent="0.2">
      <c r="D234" s="46">
        <f>SUM(D226:D233)</f>
        <v>4072353.0483999997</v>
      </c>
      <c r="E234" s="47"/>
    </row>
    <row r="235" spans="1:7" x14ac:dyDescent="0.2">
      <c r="A235" s="4">
        <v>45191</v>
      </c>
      <c r="B235" s="1" t="s">
        <v>251</v>
      </c>
      <c r="C235" s="1" t="s">
        <v>362</v>
      </c>
      <c r="D235" s="46">
        <f>-I27</f>
        <v>-4102854</v>
      </c>
      <c r="E235" s="47"/>
    </row>
    <row r="236" spans="1:7" x14ac:dyDescent="0.2">
      <c r="A236" s="4">
        <v>45210</v>
      </c>
      <c r="B236" s="1" t="s">
        <v>363</v>
      </c>
      <c r="C236" s="1" t="s">
        <v>362</v>
      </c>
      <c r="D236" s="48">
        <v>30501</v>
      </c>
      <c r="E236" s="47"/>
    </row>
    <row r="237" spans="1:7" x14ac:dyDescent="0.2">
      <c r="D237" s="49">
        <f>SUM(D234:D236)</f>
        <v>4.8399999737739563E-2</v>
      </c>
      <c r="E237" s="47" t="s">
        <v>392</v>
      </c>
    </row>
    <row r="239" spans="1:7" x14ac:dyDescent="0.2">
      <c r="A239" s="4">
        <v>45212</v>
      </c>
      <c r="B239" s="1" t="s">
        <v>280</v>
      </c>
      <c r="C239" s="1" t="s">
        <v>71</v>
      </c>
      <c r="D239" s="46">
        <v>74978.33</v>
      </c>
      <c r="E239" s="47" t="s">
        <v>277</v>
      </c>
    </row>
    <row r="240" spans="1:7" x14ac:dyDescent="0.2">
      <c r="A240" s="4">
        <v>45210</v>
      </c>
      <c r="B240" s="1" t="s">
        <v>276</v>
      </c>
      <c r="C240" s="1" t="s">
        <v>88</v>
      </c>
      <c r="D240" s="46">
        <v>224020.0968</v>
      </c>
      <c r="E240" s="47" t="s">
        <v>277</v>
      </c>
      <c r="F240" s="8">
        <f>D240-172601</f>
        <v>51419.096799999999</v>
      </c>
    </row>
    <row r="241" spans="1:6" x14ac:dyDescent="0.2">
      <c r="A241" s="4">
        <v>45215</v>
      </c>
      <c r="B241" s="1" t="s">
        <v>286</v>
      </c>
      <c r="C241" s="1" t="s">
        <v>57</v>
      </c>
      <c r="D241" s="11">
        <v>258935.66999999998</v>
      </c>
      <c r="E241" s="47" t="s">
        <v>277</v>
      </c>
    </row>
    <row r="242" spans="1:6" x14ac:dyDescent="0.2">
      <c r="D242" s="8">
        <f>SUM(D239:D241)</f>
        <v>557934.09679999994</v>
      </c>
    </row>
    <row r="243" spans="1:6" x14ac:dyDescent="0.2">
      <c r="A243" s="4">
        <v>45211</v>
      </c>
      <c r="B243" s="1" t="s">
        <v>277</v>
      </c>
      <c r="C243" s="1" t="s">
        <v>362</v>
      </c>
      <c r="D243" s="46">
        <v>-298998</v>
      </c>
    </row>
    <row r="244" spans="1:6" x14ac:dyDescent="0.2">
      <c r="A244" s="4">
        <v>45229</v>
      </c>
      <c r="B244" s="1" t="s">
        <v>277</v>
      </c>
      <c r="C244" s="1" t="s">
        <v>362</v>
      </c>
      <c r="D244" s="11">
        <v>-258936</v>
      </c>
    </row>
    <row r="245" spans="1:6" x14ac:dyDescent="0.2">
      <c r="D245" s="26">
        <f>SUM(D242:D244)</f>
        <v>9.6799999941140413E-2</v>
      </c>
    </row>
    <row r="247" spans="1:6" x14ac:dyDescent="0.2">
      <c r="A247" s="4">
        <v>45212</v>
      </c>
      <c r="B247" s="1" t="s">
        <v>281</v>
      </c>
      <c r="C247" s="1" t="s">
        <v>71</v>
      </c>
      <c r="D247" s="46">
        <v>155177.19</v>
      </c>
      <c r="E247" s="47" t="s">
        <v>279</v>
      </c>
    </row>
    <row r="248" spans="1:6" x14ac:dyDescent="0.2">
      <c r="A248" s="4">
        <v>45210</v>
      </c>
      <c r="B248" s="1" t="s">
        <v>278</v>
      </c>
      <c r="C248" s="1" t="s">
        <v>88</v>
      </c>
      <c r="D248" s="46">
        <v>469362.087</v>
      </c>
      <c r="E248" s="47" t="s">
        <v>279</v>
      </c>
      <c r="F248" s="8">
        <f>D248-361631</f>
        <v>107731.087</v>
      </c>
    </row>
    <row r="249" spans="1:6" x14ac:dyDescent="0.2">
      <c r="A249" s="4">
        <v>45215</v>
      </c>
      <c r="B249" s="1" t="s">
        <v>287</v>
      </c>
      <c r="C249" s="1" t="s">
        <v>57</v>
      </c>
      <c r="D249" s="11">
        <v>258932.1</v>
      </c>
      <c r="E249" s="1" t="s">
        <v>279</v>
      </c>
    </row>
    <row r="250" spans="1:6" x14ac:dyDescent="0.2">
      <c r="D250" s="8">
        <f>SUM(D247:D249)</f>
        <v>883471.37699999998</v>
      </c>
    </row>
    <row r="251" spans="1:6" x14ac:dyDescent="0.2">
      <c r="A251" s="4">
        <v>45211</v>
      </c>
      <c r="B251" s="1" t="s">
        <v>279</v>
      </c>
      <c r="C251" s="1" t="s">
        <v>362</v>
      </c>
      <c r="D251" s="46">
        <v>-624539</v>
      </c>
    </row>
    <row r="252" spans="1:6" x14ac:dyDescent="0.2">
      <c r="A252" s="4">
        <v>45229</v>
      </c>
      <c r="B252" s="1" t="s">
        <v>279</v>
      </c>
      <c r="C252" s="1" t="s">
        <v>362</v>
      </c>
      <c r="D252" s="11">
        <v>-258932</v>
      </c>
    </row>
    <row r="253" spans="1:6" x14ac:dyDescent="0.2">
      <c r="D253" s="26">
        <f>SUM(D250:D252)</f>
        <v>0.37699999997857958</v>
      </c>
    </row>
    <row r="255" spans="1:6" x14ac:dyDescent="0.2">
      <c r="A255" s="4">
        <v>45217</v>
      </c>
      <c r="B255" s="1" t="s">
        <v>310</v>
      </c>
      <c r="C255" s="1" t="s">
        <v>88</v>
      </c>
      <c r="D255" s="46">
        <v>225241.33379999999</v>
      </c>
      <c r="E255" s="47" t="s">
        <v>307</v>
      </c>
      <c r="F255" s="1" t="s">
        <v>444</v>
      </c>
    </row>
    <row r="256" spans="1:6" x14ac:dyDescent="0.2">
      <c r="A256" s="4">
        <v>45219</v>
      </c>
      <c r="B256" s="1" t="s">
        <v>312</v>
      </c>
      <c r="C256" s="1" t="s">
        <v>61</v>
      </c>
      <c r="D256" s="46">
        <v>106572.83</v>
      </c>
      <c r="E256" s="47" t="s">
        <v>307</v>
      </c>
      <c r="F256" s="1" t="s">
        <v>444</v>
      </c>
    </row>
    <row r="257" spans="1:6" x14ac:dyDescent="0.2">
      <c r="A257" s="4">
        <v>45229</v>
      </c>
      <c r="B257" s="1" t="s">
        <v>306</v>
      </c>
      <c r="C257" s="1" t="s">
        <v>57</v>
      </c>
      <c r="D257" s="11">
        <v>259752.01</v>
      </c>
      <c r="E257" s="1" t="s">
        <v>307</v>
      </c>
    </row>
    <row r="258" spans="1:6" x14ac:dyDescent="0.2">
      <c r="D258" s="8">
        <f>SUM(D255:D257)</f>
        <v>591566.17379999999</v>
      </c>
    </row>
    <row r="259" spans="1:6" x14ac:dyDescent="0.2">
      <c r="A259" s="4">
        <v>45219</v>
      </c>
      <c r="B259" s="1" t="s">
        <v>307</v>
      </c>
      <c r="C259" s="1" t="s">
        <v>362</v>
      </c>
      <c r="D259" s="46">
        <v>-331814</v>
      </c>
    </row>
    <row r="260" spans="1:6" x14ac:dyDescent="0.2">
      <c r="A260" s="4">
        <v>45233</v>
      </c>
      <c r="B260" s="1" t="s">
        <v>307</v>
      </c>
      <c r="C260" s="1" t="s">
        <v>362</v>
      </c>
      <c r="D260" s="11">
        <v>-259752</v>
      </c>
    </row>
    <row r="261" spans="1:6" x14ac:dyDescent="0.2">
      <c r="D261" s="26">
        <f>SUM(D258:D260)</f>
        <v>0.17379999998956919</v>
      </c>
    </row>
    <row r="263" spans="1:6" x14ac:dyDescent="0.2">
      <c r="A263" s="4">
        <v>45213</v>
      </c>
      <c r="B263" s="1" t="s">
        <v>284</v>
      </c>
      <c r="C263" s="1" t="s">
        <v>88</v>
      </c>
      <c r="D263" s="46">
        <v>448528.68839999998</v>
      </c>
      <c r="E263" s="47" t="s">
        <v>283</v>
      </c>
      <c r="F263" s="8">
        <f>D263-345574</f>
        <v>102954.68839999998</v>
      </c>
    </row>
    <row r="264" spans="1:6" x14ac:dyDescent="0.2">
      <c r="A264" s="4">
        <v>45213</v>
      </c>
      <c r="B264" s="1" t="s">
        <v>282</v>
      </c>
      <c r="C264" s="1" t="s">
        <v>65</v>
      </c>
      <c r="D264" s="46">
        <v>183004.15</v>
      </c>
      <c r="E264" s="47" t="s">
        <v>283</v>
      </c>
    </row>
    <row r="265" spans="1:6" x14ac:dyDescent="0.2">
      <c r="A265" s="4">
        <v>45216</v>
      </c>
      <c r="B265" s="1" t="s">
        <v>291</v>
      </c>
      <c r="C265" s="1" t="s">
        <v>57</v>
      </c>
      <c r="D265" s="11">
        <v>258993.98</v>
      </c>
      <c r="E265" s="1" t="s">
        <v>283</v>
      </c>
    </row>
    <row r="266" spans="1:6" x14ac:dyDescent="0.2">
      <c r="D266" s="8">
        <f>SUM(D263:D265)</f>
        <v>890526.81839999999</v>
      </c>
    </row>
    <row r="267" spans="1:6" x14ac:dyDescent="0.2">
      <c r="A267" s="4">
        <v>45216</v>
      </c>
      <c r="B267" s="1" t="s">
        <v>283</v>
      </c>
      <c r="C267" s="1" t="s">
        <v>362</v>
      </c>
      <c r="D267" s="46">
        <v>-631533</v>
      </c>
    </row>
    <row r="268" spans="1:6" x14ac:dyDescent="0.2">
      <c r="A268" s="4">
        <v>45233</v>
      </c>
      <c r="B268" s="1" t="s">
        <v>283</v>
      </c>
      <c r="C268" s="1" t="s">
        <v>362</v>
      </c>
      <c r="D268" s="11">
        <v>-258994</v>
      </c>
    </row>
    <row r="269" spans="1:6" x14ac:dyDescent="0.2">
      <c r="D269" s="26">
        <f>SUM(D266:D268)</f>
        <v>-0.18160000001080334</v>
      </c>
    </row>
    <row r="271" spans="1:6" x14ac:dyDescent="0.2">
      <c r="A271" s="4">
        <v>45216</v>
      </c>
      <c r="B271" s="1" t="s">
        <v>290</v>
      </c>
      <c r="C271" s="1" t="s">
        <v>61</v>
      </c>
      <c r="D271" s="46">
        <v>118414.52</v>
      </c>
      <c r="E271" s="47" t="s">
        <v>289</v>
      </c>
    </row>
    <row r="272" spans="1:6" x14ac:dyDescent="0.2">
      <c r="A272" s="4">
        <v>45215</v>
      </c>
      <c r="B272" s="1" t="s">
        <v>288</v>
      </c>
      <c r="C272" s="1" t="s">
        <v>88</v>
      </c>
      <c r="D272" s="46">
        <v>282196.20899999997</v>
      </c>
      <c r="E272" s="47" t="s">
        <v>289</v>
      </c>
    </row>
    <row r="273" spans="1:6" x14ac:dyDescent="0.2">
      <c r="A273" s="4">
        <v>45229</v>
      </c>
      <c r="B273" s="1" t="s">
        <v>305</v>
      </c>
      <c r="C273" s="1" t="s">
        <v>57</v>
      </c>
      <c r="D273" s="11">
        <v>259752.01</v>
      </c>
      <c r="E273" s="47" t="s">
        <v>289</v>
      </c>
    </row>
    <row r="274" spans="1:6" x14ac:dyDescent="0.2">
      <c r="D274" s="46">
        <f>SUM(D271:D273)</f>
        <v>660362.73900000006</v>
      </c>
      <c r="E274" s="47"/>
    </row>
    <row r="275" spans="1:6" x14ac:dyDescent="0.2">
      <c r="A275" s="4">
        <v>45218</v>
      </c>
      <c r="B275" s="1" t="s">
        <v>393</v>
      </c>
      <c r="C275" s="1" t="s">
        <v>362</v>
      </c>
      <c r="D275" s="46">
        <v>-400611</v>
      </c>
      <c r="E275" s="47"/>
    </row>
    <row r="276" spans="1:6" x14ac:dyDescent="0.2">
      <c r="A276" s="4">
        <v>45233</v>
      </c>
      <c r="B276" s="1" t="s">
        <v>393</v>
      </c>
      <c r="C276" s="1" t="s">
        <v>362</v>
      </c>
      <c r="D276" s="11">
        <v>-259752</v>
      </c>
      <c r="E276" s="47"/>
    </row>
    <row r="277" spans="1:6" x14ac:dyDescent="0.2">
      <c r="D277" s="49">
        <f>SUM(D274:D276)</f>
        <v>-0.26099999994039536</v>
      </c>
      <c r="E277" s="47"/>
    </row>
    <row r="279" spans="1:6" x14ac:dyDescent="0.2">
      <c r="A279" s="4">
        <v>45216</v>
      </c>
      <c r="B279" s="1" t="s">
        <v>292</v>
      </c>
      <c r="C279" s="1" t="s">
        <v>88</v>
      </c>
      <c r="D279" s="46">
        <v>980608.08000000007</v>
      </c>
      <c r="E279" s="47" t="s">
        <v>293</v>
      </c>
      <c r="F279" s="46">
        <f>D279-755530</f>
        <v>225078.08000000007</v>
      </c>
    </row>
    <row r="280" spans="1:6" x14ac:dyDescent="0.2">
      <c r="A280" s="4">
        <v>45219</v>
      </c>
      <c r="B280" s="1" t="s">
        <v>295</v>
      </c>
      <c r="C280" s="1" t="s">
        <v>57</v>
      </c>
      <c r="D280" s="46">
        <v>55957.37</v>
      </c>
      <c r="E280" s="47" t="s">
        <v>293</v>
      </c>
      <c r="F280" s="47"/>
    </row>
    <row r="281" spans="1:6" x14ac:dyDescent="0.2">
      <c r="A281" s="4">
        <v>45223</v>
      </c>
      <c r="B281" s="1" t="s">
        <v>298</v>
      </c>
      <c r="C281" s="1" t="s">
        <v>71</v>
      </c>
      <c r="D281" s="46">
        <v>126164.99</v>
      </c>
      <c r="E281" s="47" t="s">
        <v>293</v>
      </c>
      <c r="F281" s="47"/>
    </row>
    <row r="282" spans="1:6" x14ac:dyDescent="0.2">
      <c r="A282" s="4">
        <v>45230</v>
      </c>
      <c r="B282" s="1" t="s">
        <v>309</v>
      </c>
      <c r="C282" s="1" t="s">
        <v>170</v>
      </c>
      <c r="D282" s="46">
        <v>178921.26</v>
      </c>
      <c r="E282" s="47" t="s">
        <v>293</v>
      </c>
      <c r="F282" s="47"/>
    </row>
    <row r="283" spans="1:6" x14ac:dyDescent="0.2">
      <c r="A283" s="4">
        <v>45233</v>
      </c>
      <c r="B283" s="1" t="s">
        <v>317</v>
      </c>
      <c r="C283" s="1" t="s">
        <v>57</v>
      </c>
      <c r="D283" s="48">
        <v>259986.44</v>
      </c>
      <c r="E283" s="47" t="s">
        <v>293</v>
      </c>
      <c r="F283" s="47"/>
    </row>
    <row r="284" spans="1:6" x14ac:dyDescent="0.2">
      <c r="D284" s="46">
        <f>SUM(D279:D283)</f>
        <v>1601638.1400000001</v>
      </c>
      <c r="E284" s="47"/>
      <c r="F284" s="47"/>
    </row>
    <row r="285" spans="1:6" x14ac:dyDescent="0.2">
      <c r="A285" s="4">
        <v>45219</v>
      </c>
      <c r="B285" s="1" t="s">
        <v>394</v>
      </c>
      <c r="C285" s="1" t="s">
        <v>362</v>
      </c>
      <c r="D285" s="46">
        <v>-1696013</v>
      </c>
      <c r="E285" s="47"/>
      <c r="F285" s="47"/>
    </row>
    <row r="286" spans="1:6" x14ac:dyDescent="0.2">
      <c r="A286" s="4">
        <v>45260</v>
      </c>
      <c r="B286" s="1" t="s">
        <v>363</v>
      </c>
      <c r="C286" s="1" t="s">
        <v>362</v>
      </c>
      <c r="D286" s="53">
        <v>94375</v>
      </c>
    </row>
    <row r="287" spans="1:6" x14ac:dyDescent="0.2">
      <c r="D287" s="26">
        <f>SUM(D284:D286)</f>
        <v>0.14000000013038516</v>
      </c>
    </row>
    <row r="289" spans="1:6" x14ac:dyDescent="0.2">
      <c r="A289" s="4">
        <v>45223</v>
      </c>
      <c r="B289" s="1" t="s">
        <v>304</v>
      </c>
      <c r="C289" s="1" t="s">
        <v>88</v>
      </c>
      <c r="D289" s="46">
        <v>253890.64919999999</v>
      </c>
      <c r="E289" s="47" t="s">
        <v>300</v>
      </c>
      <c r="F289" s="8">
        <f>D289-195615</f>
        <v>58275.649199999985</v>
      </c>
    </row>
    <row r="290" spans="1:6" x14ac:dyDescent="0.2">
      <c r="A290" s="4">
        <v>45223</v>
      </c>
      <c r="B290" s="1" t="s">
        <v>299</v>
      </c>
      <c r="C290" s="1" t="s">
        <v>65</v>
      </c>
      <c r="D290" s="46">
        <v>80737.929999999993</v>
      </c>
      <c r="E290" s="47" t="s">
        <v>300</v>
      </c>
    </row>
    <row r="291" spans="1:6" x14ac:dyDescent="0.2">
      <c r="A291" s="4">
        <v>45236</v>
      </c>
      <c r="B291" s="1" t="s">
        <v>321</v>
      </c>
      <c r="C291" s="1" t="s">
        <v>57</v>
      </c>
      <c r="D291" s="11">
        <v>260161.37</v>
      </c>
      <c r="E291" s="1" t="s">
        <v>300</v>
      </c>
    </row>
    <row r="292" spans="1:6" x14ac:dyDescent="0.2">
      <c r="D292" s="8">
        <f>SUM(D289:D291)</f>
        <v>594789.94919999992</v>
      </c>
    </row>
    <row r="293" spans="1:6" x14ac:dyDescent="0.2">
      <c r="A293" s="4">
        <v>45229</v>
      </c>
      <c r="B293" s="1" t="s">
        <v>395</v>
      </c>
      <c r="C293" s="1" t="s">
        <v>362</v>
      </c>
      <c r="D293" s="46">
        <v>-334629</v>
      </c>
    </row>
    <row r="294" spans="1:6" x14ac:dyDescent="0.2">
      <c r="A294" s="4">
        <v>45240</v>
      </c>
      <c r="B294" s="1" t="s">
        <v>395</v>
      </c>
      <c r="C294" s="1" t="s">
        <v>362</v>
      </c>
      <c r="D294" s="11">
        <v>-260161</v>
      </c>
    </row>
    <row r="295" spans="1:6" x14ac:dyDescent="0.2">
      <c r="D295" s="26">
        <f>SUM(D292:D294)</f>
        <v>-5.080000008456409E-2</v>
      </c>
    </row>
    <row r="297" spans="1:6" x14ac:dyDescent="0.2">
      <c r="A297" s="4">
        <v>45237</v>
      </c>
      <c r="B297" s="31" t="s">
        <v>328</v>
      </c>
      <c r="C297" s="1" t="s">
        <v>57</v>
      </c>
      <c r="D297" s="46">
        <v>52346.91</v>
      </c>
      <c r="E297" s="47" t="s">
        <v>323</v>
      </c>
      <c r="F297" s="47"/>
    </row>
    <row r="298" spans="1:6" x14ac:dyDescent="0.2">
      <c r="A298" s="4">
        <v>45236</v>
      </c>
      <c r="B298" s="31" t="s">
        <v>322</v>
      </c>
      <c r="C298" s="1" t="s">
        <v>65</v>
      </c>
      <c r="D298" s="46">
        <v>132577</v>
      </c>
      <c r="E298" s="47" t="s">
        <v>323</v>
      </c>
      <c r="F298" s="47"/>
    </row>
    <row r="299" spans="1:6" x14ac:dyDescent="0.2">
      <c r="A299" s="4">
        <v>45236</v>
      </c>
      <c r="B299" s="31" t="s">
        <v>324</v>
      </c>
      <c r="C299" s="1" t="s">
        <v>166</v>
      </c>
      <c r="D299" s="46">
        <v>41650</v>
      </c>
      <c r="E299" s="47" t="s">
        <v>323</v>
      </c>
      <c r="F299" s="47"/>
    </row>
    <row r="300" spans="1:6" x14ac:dyDescent="0.2">
      <c r="A300" s="4">
        <v>45244</v>
      </c>
      <c r="B300" s="31" t="s">
        <v>336</v>
      </c>
      <c r="C300" s="1" t="s">
        <v>170</v>
      </c>
      <c r="D300" s="46">
        <v>182318.71</v>
      </c>
      <c r="E300" s="47" t="s">
        <v>323</v>
      </c>
      <c r="F300" s="47"/>
    </row>
    <row r="301" spans="1:6" x14ac:dyDescent="0.2">
      <c r="A301" s="4">
        <v>45251</v>
      </c>
      <c r="B301" s="31" t="s">
        <v>342</v>
      </c>
      <c r="C301" s="1" t="s">
        <v>57</v>
      </c>
      <c r="D301" s="46">
        <v>260753.99</v>
      </c>
      <c r="E301" s="47" t="s">
        <v>323</v>
      </c>
      <c r="F301" s="47"/>
    </row>
    <row r="302" spans="1:6" x14ac:dyDescent="0.2">
      <c r="A302" s="4">
        <v>45248</v>
      </c>
      <c r="B302" s="1" t="s">
        <v>338</v>
      </c>
      <c r="C302" s="1" t="s">
        <v>88</v>
      </c>
      <c r="D302" s="48">
        <v>1272840.8258999998</v>
      </c>
      <c r="E302" s="47" t="s">
        <v>323</v>
      </c>
      <c r="F302" s="46">
        <f>D302-980679</f>
        <v>292161.82589999982</v>
      </c>
    </row>
    <row r="303" spans="1:6" x14ac:dyDescent="0.2">
      <c r="D303" s="46">
        <f>SUM(D297:D302)</f>
        <v>1942487.4358999999</v>
      </c>
      <c r="E303" s="47"/>
      <c r="F303" s="47"/>
    </row>
    <row r="304" spans="1:6" x14ac:dyDescent="0.2">
      <c r="A304" s="4">
        <v>45233</v>
      </c>
      <c r="B304" s="1" t="s">
        <v>396</v>
      </c>
      <c r="C304" s="1" t="s">
        <v>362</v>
      </c>
      <c r="D304" s="46">
        <v>-1993246</v>
      </c>
      <c r="E304" s="47"/>
      <c r="F304" s="47"/>
    </row>
    <row r="305" spans="1:6" x14ac:dyDescent="0.2">
      <c r="A305" s="4">
        <v>45260</v>
      </c>
      <c r="B305" s="1" t="s">
        <v>363</v>
      </c>
      <c r="C305" s="1" t="s">
        <v>362</v>
      </c>
      <c r="D305" s="53">
        <f>-I46</f>
        <v>50758.564100000076</v>
      </c>
      <c r="E305" s="47"/>
      <c r="F305" s="47"/>
    </row>
    <row r="306" spans="1:6" x14ac:dyDescent="0.2">
      <c r="D306" s="26">
        <f>SUM(D303:D305)</f>
        <v>0</v>
      </c>
    </row>
    <row r="308" spans="1:6" x14ac:dyDescent="0.2">
      <c r="A308" s="4">
        <v>45253</v>
      </c>
      <c r="B308" s="1" t="s">
        <v>351</v>
      </c>
      <c r="C308" s="1" t="s">
        <v>57</v>
      </c>
      <c r="D308" s="54">
        <v>260823.01</v>
      </c>
      <c r="E308" s="1" t="s">
        <v>313</v>
      </c>
    </row>
    <row r="309" spans="1:6" x14ac:dyDescent="0.2">
      <c r="A309" s="4">
        <v>45233</v>
      </c>
      <c r="B309" s="1" t="s">
        <v>316</v>
      </c>
      <c r="C309" s="1" t="s">
        <v>65</v>
      </c>
      <c r="D309" s="46">
        <v>187817.7</v>
      </c>
      <c r="E309" s="47" t="s">
        <v>313</v>
      </c>
    </row>
    <row r="310" spans="1:6" x14ac:dyDescent="0.2">
      <c r="A310" s="4">
        <v>45232</v>
      </c>
      <c r="B310" s="1" t="s">
        <v>315</v>
      </c>
      <c r="C310" s="1" t="s">
        <v>88</v>
      </c>
      <c r="D310" s="48">
        <v>276378.37290000002</v>
      </c>
      <c r="E310" s="47" t="s">
        <v>313</v>
      </c>
      <c r="F310" s="8">
        <f>D310-212940</f>
        <v>63438.372900000017</v>
      </c>
    </row>
    <row r="311" spans="1:6" x14ac:dyDescent="0.2">
      <c r="D311" s="8">
        <f>SUM(D308:D310)</f>
        <v>725019.08290000004</v>
      </c>
    </row>
    <row r="312" spans="1:6" x14ac:dyDescent="0.2">
      <c r="A312" s="4">
        <v>45236</v>
      </c>
      <c r="B312" s="1" t="s">
        <v>397</v>
      </c>
      <c r="C312" s="1" t="s">
        <v>362</v>
      </c>
      <c r="D312" s="46">
        <v>-464196</v>
      </c>
    </row>
    <row r="313" spans="1:6" x14ac:dyDescent="0.2">
      <c r="A313" s="4">
        <v>45260</v>
      </c>
      <c r="B313" s="1" t="s">
        <v>363</v>
      </c>
      <c r="C313" s="1" t="s">
        <v>362</v>
      </c>
      <c r="D313" s="53">
        <f>-I43</f>
        <v>-260823</v>
      </c>
    </row>
    <row r="314" spans="1:6" x14ac:dyDescent="0.2">
      <c r="D314" s="26">
        <f>SUM(D311:D313)</f>
        <v>8.2900000037625432E-2</v>
      </c>
    </row>
    <row r="316" spans="1:6" x14ac:dyDescent="0.2">
      <c r="A316" s="4">
        <v>45233</v>
      </c>
      <c r="B316" s="1" t="s">
        <v>318</v>
      </c>
      <c r="C316" s="1" t="s">
        <v>65</v>
      </c>
      <c r="D316" s="46">
        <v>187817.7</v>
      </c>
      <c r="E316" s="47" t="s">
        <v>319</v>
      </c>
    </row>
    <row r="317" spans="1:6" x14ac:dyDescent="0.2">
      <c r="A317" s="4">
        <v>45233</v>
      </c>
      <c r="B317" s="1" t="s">
        <v>320</v>
      </c>
      <c r="C317" s="1" t="s">
        <v>88</v>
      </c>
      <c r="D317" s="46">
        <v>436278.42719999998</v>
      </c>
      <c r="E317" s="47" t="s">
        <v>319</v>
      </c>
      <c r="F317" s="8">
        <f>D317-336140</f>
        <v>100138.42719999998</v>
      </c>
    </row>
    <row r="318" spans="1:6" x14ac:dyDescent="0.2">
      <c r="A318" s="4">
        <v>45253</v>
      </c>
      <c r="B318" s="1" t="s">
        <v>352</v>
      </c>
      <c r="C318" s="1" t="s">
        <v>57</v>
      </c>
      <c r="D318" s="53">
        <v>260823.01</v>
      </c>
      <c r="E318" s="1" t="s">
        <v>319</v>
      </c>
    </row>
    <row r="319" spans="1:6" x14ac:dyDescent="0.2">
      <c r="D319" s="8">
        <f>SUM(D316:D318)</f>
        <v>884919.1372</v>
      </c>
    </row>
    <row r="320" spans="1:6" x14ac:dyDescent="0.2">
      <c r="A320" s="4">
        <v>45236</v>
      </c>
      <c r="B320" s="1" t="s">
        <v>398</v>
      </c>
      <c r="C320" s="1" t="s">
        <v>362</v>
      </c>
      <c r="D320" s="46">
        <v>-624096</v>
      </c>
    </row>
    <row r="321" spans="1:6" x14ac:dyDescent="0.2">
      <c r="A321" s="4">
        <v>45260</v>
      </c>
      <c r="B321" s="1" t="s">
        <v>363</v>
      </c>
      <c r="C321" s="1" t="s">
        <v>362</v>
      </c>
      <c r="D321" s="53">
        <f>-I42</f>
        <v>-260823</v>
      </c>
    </row>
    <row r="322" spans="1:6" x14ac:dyDescent="0.2">
      <c r="D322" s="26">
        <f>SUM(D319:D321)</f>
        <v>0.1371999999973923</v>
      </c>
    </row>
    <row r="324" spans="1:6" x14ac:dyDescent="0.2">
      <c r="A324" s="4">
        <v>45250</v>
      </c>
      <c r="B324" s="1" t="s">
        <v>341</v>
      </c>
      <c r="C324" s="1" t="s">
        <v>88</v>
      </c>
      <c r="D324" s="46">
        <v>1364577.0180000002</v>
      </c>
      <c r="E324" s="47" t="s">
        <v>326</v>
      </c>
      <c r="F324" s="46">
        <f>D324-1051359</f>
        <v>313218.01800000016</v>
      </c>
    </row>
    <row r="325" spans="1:6" x14ac:dyDescent="0.2">
      <c r="A325" s="4">
        <v>45237</v>
      </c>
      <c r="B325" s="1" t="s">
        <v>329</v>
      </c>
      <c r="C325" s="1" t="s">
        <v>57</v>
      </c>
      <c r="D325" s="46">
        <v>52346.91</v>
      </c>
      <c r="E325" s="47" t="s">
        <v>326</v>
      </c>
      <c r="F325" s="47"/>
    </row>
    <row r="326" spans="1:6" x14ac:dyDescent="0.2">
      <c r="A326" s="4">
        <v>45236</v>
      </c>
      <c r="B326" s="1" t="s">
        <v>325</v>
      </c>
      <c r="C326" s="1" t="s">
        <v>65</v>
      </c>
      <c r="D326" s="46">
        <v>171974.04</v>
      </c>
      <c r="E326" s="47" t="s">
        <v>326</v>
      </c>
      <c r="F326" s="47"/>
    </row>
    <row r="327" spans="1:6" x14ac:dyDescent="0.2">
      <c r="A327" s="4">
        <v>45236</v>
      </c>
      <c r="B327" s="1" t="s">
        <v>327</v>
      </c>
      <c r="C327" s="1" t="s">
        <v>166</v>
      </c>
      <c r="D327" s="46">
        <v>48790</v>
      </c>
      <c r="E327" s="47" t="s">
        <v>326</v>
      </c>
      <c r="F327" s="47"/>
    </row>
    <row r="328" spans="1:6" x14ac:dyDescent="0.2">
      <c r="A328" s="4">
        <v>45244</v>
      </c>
      <c r="B328" s="1" t="s">
        <v>337</v>
      </c>
      <c r="C328" s="1" t="s">
        <v>170</v>
      </c>
      <c r="D328" s="46">
        <v>182318.71</v>
      </c>
      <c r="E328" s="47" t="s">
        <v>326</v>
      </c>
      <c r="F328" s="47"/>
    </row>
    <row r="329" spans="1:6" x14ac:dyDescent="0.2">
      <c r="A329" s="4">
        <v>45251</v>
      </c>
      <c r="B329" s="1" t="s">
        <v>343</v>
      </c>
      <c r="C329" s="1" t="s">
        <v>57</v>
      </c>
      <c r="D329" s="48">
        <v>260753.99</v>
      </c>
      <c r="E329" s="47" t="s">
        <v>326</v>
      </c>
      <c r="F329" s="47"/>
    </row>
    <row r="330" spans="1:6" x14ac:dyDescent="0.2">
      <c r="D330" s="46">
        <f>SUM(D324:D329)</f>
        <v>2080760.6680000001</v>
      </c>
      <c r="E330" s="47"/>
      <c r="F330" s="47"/>
    </row>
    <row r="331" spans="1:6" x14ac:dyDescent="0.2">
      <c r="A331" s="4">
        <v>45236</v>
      </c>
      <c r="B331" s="1" t="s">
        <v>399</v>
      </c>
      <c r="C331" s="1" t="s">
        <v>362</v>
      </c>
      <c r="D331" s="46">
        <v>-2084982</v>
      </c>
      <c r="E331" s="47"/>
      <c r="F331" s="47"/>
    </row>
    <row r="332" spans="1:6" x14ac:dyDescent="0.2">
      <c r="A332" s="4">
        <v>45260</v>
      </c>
      <c r="B332" s="1" t="s">
        <v>363</v>
      </c>
      <c r="C332" s="1" t="s">
        <v>362</v>
      </c>
      <c r="D332" s="53">
        <f>-I47</f>
        <v>4221.3319999999367</v>
      </c>
      <c r="E332" s="47"/>
      <c r="F332" s="47"/>
    </row>
    <row r="333" spans="1:6" x14ac:dyDescent="0.2">
      <c r="D333" s="26">
        <f>SUM(D330:D332)</f>
        <v>0</v>
      </c>
    </row>
    <row r="335" spans="1:6" x14ac:dyDescent="0.2">
      <c r="A335" s="4">
        <v>45253</v>
      </c>
      <c r="B335" s="1" t="s">
        <v>350</v>
      </c>
      <c r="C335" s="1" t="s">
        <v>57</v>
      </c>
      <c r="D335" s="54">
        <v>260823.01</v>
      </c>
      <c r="E335" s="1" t="s">
        <v>340</v>
      </c>
    </row>
    <row r="336" spans="1:6" x14ac:dyDescent="0.2">
      <c r="A336" s="4">
        <v>45250</v>
      </c>
      <c r="B336" s="1" t="s">
        <v>339</v>
      </c>
      <c r="C336" s="1" t="s">
        <v>88</v>
      </c>
      <c r="D336" s="46">
        <v>397025.2524</v>
      </c>
      <c r="E336" s="47" t="s">
        <v>340</v>
      </c>
      <c r="F336" s="8">
        <f>D336-305893</f>
        <v>91132.252399999998</v>
      </c>
    </row>
    <row r="337" spans="1:6" x14ac:dyDescent="0.2">
      <c r="A337" s="4">
        <v>45252</v>
      </c>
      <c r="B337" s="1" t="s">
        <v>345</v>
      </c>
      <c r="C337" s="1" t="s">
        <v>71</v>
      </c>
      <c r="D337" s="48">
        <v>159257.70000000001</v>
      </c>
      <c r="E337" s="47" t="s">
        <v>340</v>
      </c>
    </row>
    <row r="338" spans="1:6" x14ac:dyDescent="0.2">
      <c r="D338" s="8">
        <f>SUM(D335:D337)</f>
        <v>817105.96240000008</v>
      </c>
    </row>
    <row r="339" spans="1:6" x14ac:dyDescent="0.2">
      <c r="A339" s="4">
        <v>45251</v>
      </c>
      <c r="B339" s="1" t="s">
        <v>400</v>
      </c>
      <c r="C339" s="1" t="s">
        <v>362</v>
      </c>
      <c r="D339" s="46">
        <v>-556283</v>
      </c>
    </row>
    <row r="340" spans="1:6" x14ac:dyDescent="0.2">
      <c r="A340" s="4">
        <v>45260</v>
      </c>
      <c r="B340" s="1" t="s">
        <v>363</v>
      </c>
      <c r="C340" s="1" t="s">
        <v>362</v>
      </c>
      <c r="D340" s="53">
        <f>-I44</f>
        <v>-260823</v>
      </c>
    </row>
    <row r="341" spans="1:6" x14ac:dyDescent="0.2">
      <c r="D341" s="26">
        <f>SUM(D338:D340)</f>
        <v>-3.759999992325902E-2</v>
      </c>
    </row>
    <row r="344" spans="1:6" x14ac:dyDescent="0.2">
      <c r="A344" s="4">
        <v>45278</v>
      </c>
      <c r="B344" s="6" t="s">
        <v>439</v>
      </c>
      <c r="C344" s="1" t="s">
        <v>71</v>
      </c>
      <c r="D344" s="46">
        <v>48215</v>
      </c>
      <c r="E344" s="47" t="s">
        <v>374</v>
      </c>
    </row>
    <row r="345" spans="1:6" x14ac:dyDescent="0.2">
      <c r="A345" s="4">
        <v>45278</v>
      </c>
      <c r="B345" s="6" t="s">
        <v>436</v>
      </c>
      <c r="C345" s="1" t="s">
        <v>88</v>
      </c>
      <c r="D345" s="46">
        <v>67923</v>
      </c>
      <c r="E345" s="47" t="s">
        <v>374</v>
      </c>
      <c r="F345" s="8">
        <f>D345-52333</f>
        <v>15590</v>
      </c>
    </row>
    <row r="346" spans="1:6" x14ac:dyDescent="0.2">
      <c r="A346" s="4">
        <v>45282</v>
      </c>
      <c r="B346" s="1">
        <v>1031</v>
      </c>
      <c r="C346" s="1" t="s">
        <v>57</v>
      </c>
      <c r="D346" s="11">
        <v>262145</v>
      </c>
      <c r="E346" s="1" t="s">
        <v>374</v>
      </c>
    </row>
    <row r="347" spans="1:6" x14ac:dyDescent="0.2">
      <c r="D347" s="8">
        <f>SUM(D344:D346)</f>
        <v>378283</v>
      </c>
    </row>
    <row r="348" spans="1:6" x14ac:dyDescent="0.2">
      <c r="A348" s="4">
        <v>45278</v>
      </c>
      <c r="B348" s="1" t="s">
        <v>440</v>
      </c>
      <c r="C348" s="1" t="s">
        <v>362</v>
      </c>
      <c r="D348" s="46">
        <v>-116138</v>
      </c>
    </row>
    <row r="349" spans="1:6" x14ac:dyDescent="0.2">
      <c r="D349" s="8">
        <f>+D347+D348</f>
        <v>262145</v>
      </c>
    </row>
  </sheetData>
  <autoFilter ref="A1:J349" xr:uid="{2ED5CAF9-97C9-4583-B4A5-FCA4FAC5FBAE}"/>
  <phoneticPr fontId="3" type="noConversion"/>
  <pageMargins left="0.7" right="0.7" top="0.75" bottom="0.75" header="0.3" footer="0.3"/>
  <pageSetup paperSize="9" orientation="portrait" r:id="rId1"/>
  <headerFooter>
    <oddFooter>&amp;C_x000D_&amp;1#&amp;"Calibri"&amp;10&amp;K000000 Calificación: Publico, apto para su distribución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1CDEA-69DB-4BD3-AAFC-F052C00E45E3}"/>
</file>

<file path=customXml/itemProps2.xml><?xml version="1.0" encoding="utf-8"?>
<ds:datastoreItem xmlns:ds="http://schemas.openxmlformats.org/officeDocument/2006/customXml" ds:itemID="{44048BD9-1717-45F4-8C71-27D7BD0D4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Liquidacion IVA</vt:lpstr>
      <vt:lpstr>Facturas</vt:lpstr>
      <vt:lpstr>Easy Point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Rocío Ceccotti Ponte</dc:creator>
  <cp:keywords/>
  <dc:description/>
  <cp:lastModifiedBy>Carolina Cabrera</cp:lastModifiedBy>
  <cp:revision/>
  <dcterms:created xsi:type="dcterms:W3CDTF">2015-06-05T18:19:34Z</dcterms:created>
  <dcterms:modified xsi:type="dcterms:W3CDTF">2024-02-10T03:58:53Z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06789-7178-42ed-a2cb-2f310395f8e0_Enabled">
    <vt:lpwstr>true</vt:lpwstr>
  </property>
  <property fmtid="{D5CDD505-2E9C-101B-9397-08002B2CF9AE}" pid="3" name="MSIP_Label_88606789-7178-42ed-a2cb-2f310395f8e0_SetDate">
    <vt:lpwstr>2024-02-09T00:06:45Z</vt:lpwstr>
  </property>
  <property fmtid="{D5CDD505-2E9C-101B-9397-08002B2CF9AE}" pid="4" name="MSIP_Label_88606789-7178-42ed-a2cb-2f310395f8e0_Method">
    <vt:lpwstr>Privileged</vt:lpwstr>
  </property>
  <property fmtid="{D5CDD505-2E9C-101B-9397-08002B2CF9AE}" pid="5" name="MSIP_Label_88606789-7178-42ed-a2cb-2f310395f8e0_Name">
    <vt:lpwstr>Publica</vt:lpwstr>
  </property>
  <property fmtid="{D5CDD505-2E9C-101B-9397-08002B2CF9AE}" pid="6" name="MSIP_Label_88606789-7178-42ed-a2cb-2f310395f8e0_SiteId">
    <vt:lpwstr>ad9dc499-26eb-41de-90c1-2c7cfce752f9</vt:lpwstr>
  </property>
  <property fmtid="{D5CDD505-2E9C-101B-9397-08002B2CF9AE}" pid="7" name="MSIP_Label_88606789-7178-42ed-a2cb-2f310395f8e0_ActionId">
    <vt:lpwstr>13084435-a634-434d-a61f-1621eb67411b</vt:lpwstr>
  </property>
  <property fmtid="{D5CDD505-2E9C-101B-9397-08002B2CF9AE}" pid="8" name="MSIP_Label_88606789-7178-42ed-a2cb-2f310395f8e0_ContentBits">
    <vt:lpwstr>2</vt:lpwstr>
  </property>
</Properties>
</file>