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19_Camila_Larenas/REMU/Proyesco Chile SpA/Proceso Remu 2026/02.2026/"/>
    </mc:Choice>
  </mc:AlternateContent>
  <xr:revisionPtr revIDLastSave="16" documentId="13_ncr:1_{DDF792FC-C301-4B00-9645-F09EADCF9A57}" xr6:coauthVersionLast="47" xr6:coauthVersionMax="47" xr10:uidLastSave="{EDF8973A-6882-498D-9BD2-55213D8C4EE0}"/>
  <bookViews>
    <workbookView xWindow="28680" yWindow="-7935" windowWidth="29040" windowHeight="15720" activeTab="1" xr2:uid="{00000000-000D-0000-FFFF-FFFF00000000}"/>
  </bookViews>
  <sheets>
    <sheet name="02.2026" sheetId="1" r:id="rId1"/>
    <sheet name="Centralizac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E12" i="2"/>
  <c r="E15" i="2" s="1"/>
  <c r="E10" i="2"/>
  <c r="D7" i="2"/>
  <c r="D15" i="2" s="1"/>
  <c r="D6" i="2"/>
  <c r="E30" i="2"/>
  <c r="D30" i="2"/>
  <c r="K27" i="2"/>
  <c r="T13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N5" i="1"/>
  <c r="E16" i="2" l="1"/>
  <c r="D16" i="2"/>
  <c r="G10" i="2"/>
</calcChain>
</file>

<file path=xl/sharedStrings.xml><?xml version="1.0" encoding="utf-8"?>
<sst xmlns="http://schemas.openxmlformats.org/spreadsheetml/2006/main" count="108" uniqueCount="58">
  <si>
    <t>razon social rut</t>
  </si>
  <si>
    <t>mes</t>
  </si>
  <si>
    <t>rut</t>
  </si>
  <si>
    <t>nombre</t>
  </si>
  <si>
    <t>apellido paterno</t>
  </si>
  <si>
    <t>apellido materno</t>
  </si>
  <si>
    <t>cargo</t>
  </si>
  <si>
    <t>fecha contratacion</t>
  </si>
  <si>
    <t>contrato hasta</t>
  </si>
  <si>
    <t>afp nombre</t>
  </si>
  <si>
    <t>prevision nombre</t>
  </si>
  <si>
    <t>isapre monto pactado</t>
  </si>
  <si>
    <t>Días Trabajados</t>
  </si>
  <si>
    <t>Sueldo Base</t>
  </si>
  <si>
    <t>Gratificación Mensual</t>
  </si>
  <si>
    <t>Renta Imponible</t>
  </si>
  <si>
    <t>Suma de Haberes</t>
  </si>
  <si>
    <t>AFP</t>
  </si>
  <si>
    <t>Salud 7% (Fonasa)</t>
  </si>
  <si>
    <t>Suma Descuentos Legales, Impuestos y Por planilla</t>
  </si>
  <si>
    <t>Liquido a Pago</t>
  </si>
  <si>
    <t>Seguro accidentes del Trabajo</t>
  </si>
  <si>
    <t>Seguro Cesantia Empleador</t>
  </si>
  <si>
    <t>Seguro Cesantia (Fondo Solidario)</t>
  </si>
  <si>
    <t>Seguro Invalidez y Supervivencia (SIS)</t>
  </si>
  <si>
    <t>Capitalización Individual AFP</t>
  </si>
  <si>
    <t>Expectativa de Vida</t>
  </si>
  <si>
    <t>Costo Empresa</t>
  </si>
  <si>
    <t>77656064-2</t>
  </si>
  <si>
    <t>44606242-5</t>
  </si>
  <si>
    <t>CHRISTIAN ROLANDO</t>
  </si>
  <si>
    <t>SAINT</t>
  </si>
  <si>
    <t>GERMAIN</t>
  </si>
  <si>
    <t>Supervisor de Comunicaciones</t>
  </si>
  <si>
    <t>15/02/2026</t>
  </si>
  <si>
    <t>30/11/2026</t>
  </si>
  <si>
    <t>Uno</t>
  </si>
  <si>
    <t>Fonasa</t>
  </si>
  <si>
    <t>44606258-1</t>
  </si>
  <si>
    <t>GALO ANDRES</t>
  </si>
  <si>
    <t>TOBAR</t>
  </si>
  <si>
    <t>CISNEROS</t>
  </si>
  <si>
    <t xml:space="preserve"> </t>
  </si>
  <si>
    <t>FEBRERO 2025</t>
  </si>
  <si>
    <t>Cuentas</t>
  </si>
  <si>
    <t>D E B E</t>
  </si>
  <si>
    <t>H A B E R</t>
  </si>
  <si>
    <t>REMUNERACIONES</t>
  </si>
  <si>
    <t>LEYES SOCIALES</t>
  </si>
  <si>
    <t xml:space="preserve">IMPUESTO UNICO A LOS TRABAJADORES </t>
  </si>
  <si>
    <t>IMPUESTO RELIQUIDADO</t>
  </si>
  <si>
    <t>PREVIRED POR PAGAR</t>
  </si>
  <si>
    <t>ANTICIPO DE SUELDO</t>
  </si>
  <si>
    <t>SUELDOS POR PAGAR</t>
  </si>
  <si>
    <t>CENTRALIZACION FINIQUITO</t>
  </si>
  <si>
    <t>FINIQUITOS</t>
  </si>
  <si>
    <t>FINIQUITOS POR PAGAR</t>
  </si>
  <si>
    <t>CENTRALIZACION PROYESCO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</si>
</sst>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* #,##0_ ;_ &quot;$&quot;* \-#,##0_ ;_ &quot;$&quot;* &quot;-&quot;_ ;_ @_ "/>
    <numFmt numFmtId="165" formatCode="_ * #,##0.00_ ;_ * \-#,##0.00_ ;_ * &quot;-&quot;??_ ;_ @_ "/>
    <numFmt numFmtId="166" formatCode="_-* #,##0\ _P_t_s_-;\-* #,##0\ _P_t_s_-;_-* &quot;-&quot;??\ _P_t_s_-;_-@_-"/>
    <numFmt numFmtId="167" formatCode="_ [$$-340A]* #,##0_ ;_ [$$-340A]* \-#,##0_ ;_ [$$-340A]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7"/>
      <color rgb="FF545454"/>
      <name val="Trebuchet MS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6">
    <xf numFmtId="0" fontId="0" fillId="0" borderId="0" xfId="0"/>
    <xf numFmtId="164" fontId="0" fillId="0" borderId="0" xfId="1" applyFont="1"/>
    <xf numFmtId="164" fontId="2" fillId="0" borderId="0" xfId="1" applyFont="1"/>
    <xf numFmtId="164" fontId="0" fillId="0" borderId="0" xfId="0" applyNumberForma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49" fontId="0" fillId="0" borderId="0" xfId="0" applyNumberFormat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6" fontId="3" fillId="2" borderId="6" xfId="2" applyNumberFormat="1" applyFont="1" applyFill="1" applyBorder="1" applyAlignment="1">
      <alignment horizontal="center"/>
    </xf>
    <xf numFmtId="166" fontId="3" fillId="2" borderId="8" xfId="2" applyNumberFormat="1" applyFont="1" applyFill="1" applyBorder="1" applyAlignment="1">
      <alignment horizontal="center"/>
    </xf>
    <xf numFmtId="166" fontId="3" fillId="2" borderId="4" xfId="2" applyNumberFormat="1" applyFont="1" applyFill="1" applyBorder="1" applyAlignment="1">
      <alignment horizontal="center"/>
    </xf>
    <xf numFmtId="166" fontId="3" fillId="2" borderId="9" xfId="2" applyNumberFormat="1" applyFont="1" applyFill="1" applyBorder="1" applyAlignment="1">
      <alignment horizontal="center"/>
    </xf>
    <xf numFmtId="164" fontId="0" fillId="0" borderId="4" xfId="0" applyNumberFormat="1" applyBorder="1"/>
    <xf numFmtId="0" fontId="0" fillId="0" borderId="9" xfId="0" applyBorder="1"/>
    <xf numFmtId="167" fontId="0" fillId="0" borderId="0" xfId="0" applyNumberFormat="1"/>
    <xf numFmtId="164" fontId="0" fillId="0" borderId="9" xfId="0" applyNumberFormat="1" applyBorder="1"/>
    <xf numFmtId="3" fontId="4" fillId="0" borderId="0" xfId="0" applyNumberFormat="1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5" fillId="0" borderId="6" xfId="0" applyNumberFormat="1" applyFont="1" applyBorder="1"/>
    <xf numFmtId="164" fontId="5" fillId="0" borderId="7" xfId="0" applyNumberFormat="1" applyFont="1" applyBorder="1"/>
    <xf numFmtId="164" fontId="5" fillId="0" borderId="13" xfId="0" applyNumberFormat="1" applyFont="1" applyBorder="1"/>
    <xf numFmtId="0" fontId="0" fillId="0" borderId="14" xfId="0" applyBorder="1"/>
    <xf numFmtId="166" fontId="3" fillId="2" borderId="7" xfId="2" applyNumberFormat="1" applyFont="1" applyFill="1" applyBorder="1" applyAlignment="1">
      <alignment horizontal="center"/>
    </xf>
    <xf numFmtId="164" fontId="0" fillId="0" borderId="0" xfId="3" applyFont="1"/>
    <xf numFmtId="166" fontId="3" fillId="2" borderId="15" xfId="2" applyNumberFormat="1" applyFont="1" applyFill="1" applyBorder="1" applyAlignment="1">
      <alignment horizontal="center"/>
    </xf>
    <xf numFmtId="166" fontId="3" fillId="2" borderId="5" xfId="2" applyNumberFormat="1" applyFont="1" applyFill="1" applyBorder="1" applyAlignment="1">
      <alignment horizontal="center"/>
    </xf>
    <xf numFmtId="164" fontId="0" fillId="0" borderId="9" xfId="3" applyFont="1" applyBorder="1"/>
    <xf numFmtId="164" fontId="0" fillId="0" borderId="5" xfId="0" applyNumberFormat="1" applyBorder="1"/>
    <xf numFmtId="164" fontId="5" fillId="0" borderId="16" xfId="0" applyNumberFormat="1" applyFont="1" applyBorder="1"/>
    <xf numFmtId="164" fontId="5" fillId="0" borderId="17" xfId="0" applyNumberFormat="1" applyFont="1" applyBorder="1"/>
  </cellXfs>
  <cellStyles count="4">
    <cellStyle name="Comma 2" xfId="2" xr:uid="{08D51D33-56C8-4B46-B4C6-578D60BD8D0F}"/>
    <cellStyle name="Currency [0]" xfId="1" builtinId="7"/>
    <cellStyle name="Currency [0] 2" xfId="3" xr:uid="{6F62FD3A-F98D-4ADB-A9CA-195598B70BC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</xdr:colOff>
      <xdr:row>13</xdr:row>
      <xdr:rowOff>38100</xdr:rowOff>
    </xdr:from>
    <xdr:to>
      <xdr:col>13</xdr:col>
      <xdr:colOff>627557</xdr:colOff>
      <xdr:row>29</xdr:row>
      <xdr:rowOff>30119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2CA29C-950C-3A23-43F9-F971BD31E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95" y="2415540"/>
          <a:ext cx="8729522" cy="2918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13</xdr:row>
      <xdr:rowOff>0</xdr:rowOff>
    </xdr:from>
    <xdr:to>
      <xdr:col>26</xdr:col>
      <xdr:colOff>549452</xdr:colOff>
      <xdr:row>28</xdr:row>
      <xdr:rowOff>98699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B7635D-5AEF-4942-A34E-30ADA3392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30025" y="2390775"/>
          <a:ext cx="8725712" cy="288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"/>
  <sheetViews>
    <sheetView showGridLines="0" topLeftCell="F1" workbookViewId="0">
      <selection activeCell="G9" sqref="G9"/>
    </sheetView>
  </sheetViews>
  <sheetFormatPr defaultColWidth="8.88671875" defaultRowHeight="14.4" x14ac:dyDescent="0.3"/>
  <cols>
    <col min="3" max="3" width="13.109375" customWidth="1"/>
    <col min="14" max="17" width="13" bestFit="1" customWidth="1"/>
    <col min="18" max="19" width="12" bestFit="1" customWidth="1"/>
    <col min="20" max="21" width="13" bestFit="1" customWidth="1"/>
    <col min="22" max="22" width="11" bestFit="1" customWidth="1"/>
    <col min="23" max="23" width="12" bestFit="1" customWidth="1"/>
    <col min="24" max="24" width="11" bestFit="1" customWidth="1"/>
    <col min="25" max="25" width="12" bestFit="1" customWidth="1"/>
    <col min="26" max="26" width="9.44140625" bestFit="1" customWidth="1"/>
    <col min="27" max="27" width="11" bestFit="1" customWidth="1"/>
    <col min="28" max="28" width="13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>
        <v>2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M2">
        <v>14</v>
      </c>
      <c r="N2" s="1">
        <v>326667</v>
      </c>
      <c r="O2" s="1">
        <v>81667</v>
      </c>
      <c r="P2" s="1">
        <v>408334</v>
      </c>
      <c r="Q2" s="1">
        <v>408334</v>
      </c>
      <c r="R2" s="1">
        <v>42712</v>
      </c>
      <c r="S2" s="1">
        <v>28583</v>
      </c>
      <c r="T2" s="1">
        <v>71295</v>
      </c>
      <c r="U2" s="1">
        <v>337039</v>
      </c>
      <c r="V2" s="1">
        <v>3798</v>
      </c>
      <c r="W2" s="1">
        <v>11433</v>
      </c>
      <c r="X2" s="1">
        <v>817</v>
      </c>
      <c r="Y2" s="1">
        <v>6288</v>
      </c>
      <c r="Z2" s="1">
        <v>408</v>
      </c>
      <c r="AA2" s="1">
        <v>3675</v>
      </c>
      <c r="AB2" s="1">
        <v>434753</v>
      </c>
    </row>
    <row r="3" spans="1:28" x14ac:dyDescent="0.3">
      <c r="A3" t="s">
        <v>28</v>
      </c>
      <c r="B3">
        <v>2</v>
      </c>
      <c r="C3" t="s">
        <v>38</v>
      </c>
      <c r="D3" t="s">
        <v>39</v>
      </c>
      <c r="E3" t="s">
        <v>40</v>
      </c>
      <c r="F3" t="s">
        <v>41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M3">
        <v>14</v>
      </c>
      <c r="N3" s="1">
        <v>326667</v>
      </c>
      <c r="O3" s="1">
        <v>81667</v>
      </c>
      <c r="P3" s="1">
        <v>408334</v>
      </c>
      <c r="Q3" s="1">
        <v>408334</v>
      </c>
      <c r="R3" s="1">
        <v>42712</v>
      </c>
      <c r="S3" s="1">
        <v>28583</v>
      </c>
      <c r="T3" s="1">
        <v>71295</v>
      </c>
      <c r="U3" s="1">
        <v>337039</v>
      </c>
      <c r="V3" s="1">
        <v>3798</v>
      </c>
      <c r="W3" s="1">
        <v>11433</v>
      </c>
      <c r="X3" s="1">
        <v>817</v>
      </c>
      <c r="Y3" s="1">
        <v>6288</v>
      </c>
      <c r="Z3" s="1">
        <v>408</v>
      </c>
      <c r="AA3" s="1">
        <v>3675</v>
      </c>
      <c r="AB3" s="1">
        <v>434753</v>
      </c>
    </row>
    <row r="4" spans="1:28" x14ac:dyDescent="0.3"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3">
      <c r="A5" t="s">
        <v>42</v>
      </c>
      <c r="B5" t="s">
        <v>42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s="2">
        <f>+SUM(N2:N3)</f>
        <v>653334</v>
      </c>
      <c r="O5" s="2">
        <f t="shared" ref="O5:AB5" si="0">+SUM(O2:O3)</f>
        <v>163334</v>
      </c>
      <c r="P5" s="2">
        <f t="shared" si="0"/>
        <v>816668</v>
      </c>
      <c r="Q5" s="2">
        <f t="shared" si="0"/>
        <v>816668</v>
      </c>
      <c r="R5" s="2">
        <f t="shared" si="0"/>
        <v>85424</v>
      </c>
      <c r="S5" s="2">
        <f t="shared" si="0"/>
        <v>57166</v>
      </c>
      <c r="T5" s="2">
        <f t="shared" si="0"/>
        <v>142590</v>
      </c>
      <c r="U5" s="2">
        <f t="shared" si="0"/>
        <v>674078</v>
      </c>
      <c r="V5" s="2">
        <f t="shared" si="0"/>
        <v>7596</v>
      </c>
      <c r="W5" s="2">
        <f t="shared" si="0"/>
        <v>22866</v>
      </c>
      <c r="X5" s="2">
        <f t="shared" si="0"/>
        <v>1634</v>
      </c>
      <c r="Y5" s="2">
        <f t="shared" si="0"/>
        <v>12576</v>
      </c>
      <c r="Z5" s="2">
        <f t="shared" si="0"/>
        <v>816</v>
      </c>
      <c r="AA5" s="2">
        <f t="shared" si="0"/>
        <v>7350</v>
      </c>
      <c r="AB5" s="2">
        <f t="shared" si="0"/>
        <v>869506</v>
      </c>
    </row>
    <row r="6" spans="1:28" x14ac:dyDescent="0.3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</row>
    <row r="13" spans="1:28" x14ac:dyDescent="0.3">
      <c r="T13" s="3">
        <f>+R5+S5+V5+W5+X5+Y5+Z5+AA5</f>
        <v>195428</v>
      </c>
    </row>
  </sheetData>
  <pageMargins left="0.75" right="0.75" top="1" bottom="1" header="0.5" footer="0.5"/>
  <headerFooter>
    <oddFooter>&amp;C_x000D_&amp;1#&amp;"Aptos"&amp;9&amp;K000000 Clasificación: Confidencial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1A7A-BB67-475C-B2D1-C050B36C6FB9}">
  <dimension ref="B1:K31"/>
  <sheetViews>
    <sheetView showGridLines="0" tabSelected="1" workbookViewId="0">
      <selection activeCell="C31" sqref="C31"/>
    </sheetView>
  </sheetViews>
  <sheetFormatPr defaultColWidth="9.109375" defaultRowHeight="14.4" x14ac:dyDescent="0.3"/>
  <cols>
    <col min="2" max="2" width="8" bestFit="1" customWidth="1"/>
    <col min="3" max="3" width="37.33203125" customWidth="1"/>
    <col min="4" max="4" width="20.109375" customWidth="1"/>
    <col min="5" max="5" width="13.6640625" customWidth="1"/>
    <col min="6" max="6" width="11.88671875" bestFit="1" customWidth="1"/>
    <col min="7" max="7" width="12.5546875" bestFit="1" customWidth="1"/>
    <col min="8" max="8" width="11" bestFit="1" customWidth="1"/>
  </cols>
  <sheetData>
    <row r="1" spans="2:7" ht="15" thickBot="1" x14ac:dyDescent="0.35"/>
    <row r="2" spans="2:7" x14ac:dyDescent="0.3">
      <c r="B2" s="4"/>
      <c r="C2" s="5" t="s">
        <v>57</v>
      </c>
      <c r="D2" s="5"/>
      <c r="E2" s="6"/>
    </row>
    <row r="3" spans="2:7" ht="15" thickBot="1" x14ac:dyDescent="0.35">
      <c r="B3" s="7"/>
      <c r="C3" s="8" t="s">
        <v>43</v>
      </c>
      <c r="D3" s="8"/>
      <c r="E3" s="9"/>
    </row>
    <row r="4" spans="2:7" ht="15" thickBot="1" x14ac:dyDescent="0.35">
      <c r="B4" s="10" t="s">
        <v>44</v>
      </c>
      <c r="C4" s="11"/>
      <c r="D4" s="12" t="s">
        <v>45</v>
      </c>
      <c r="E4" s="13" t="s">
        <v>46</v>
      </c>
    </row>
    <row r="5" spans="2:7" x14ac:dyDescent="0.3">
      <c r="B5" s="7"/>
      <c r="C5" s="9"/>
      <c r="D5" s="14"/>
      <c r="E5" s="15"/>
    </row>
    <row r="6" spans="2:7" x14ac:dyDescent="0.3">
      <c r="B6" s="7"/>
      <c r="C6" s="9" t="s">
        <v>47</v>
      </c>
      <c r="D6" s="16">
        <f>+'02.2026'!N5+'02.2026'!O5</f>
        <v>816668</v>
      </c>
      <c r="E6" s="17"/>
    </row>
    <row r="7" spans="2:7" x14ac:dyDescent="0.3">
      <c r="B7" s="7"/>
      <c r="C7" s="9" t="s">
        <v>48</v>
      </c>
      <c r="D7" s="16">
        <f>+'02.2026'!AA5+'02.2026'!Z5+'02.2026'!Y5+'02.2026'!X5+'02.2026'!W5+'02.2026'!V5</f>
        <v>52838</v>
      </c>
      <c r="E7" s="17"/>
      <c r="F7" s="18"/>
    </row>
    <row r="8" spans="2:7" x14ac:dyDescent="0.3">
      <c r="B8" s="7"/>
      <c r="C8" s="9" t="s">
        <v>49</v>
      </c>
      <c r="D8" s="16"/>
      <c r="E8" s="19">
        <v>0</v>
      </c>
    </row>
    <row r="9" spans="2:7" x14ac:dyDescent="0.3">
      <c r="B9" s="7"/>
      <c r="C9" s="9" t="s">
        <v>50</v>
      </c>
      <c r="D9" s="16"/>
      <c r="E9" s="19"/>
    </row>
    <row r="10" spans="2:7" ht="15" x14ac:dyDescent="0.35">
      <c r="B10" s="7"/>
      <c r="C10" s="9" t="s">
        <v>51</v>
      </c>
      <c r="D10" s="7"/>
      <c r="E10" s="19">
        <f>+'02.2026'!R5+'02.2026'!S5+'02.2026'!V5+'02.2026'!W5+'02.2026'!X5+'02.2026'!Y5+'02.2026'!Z5+'02.2026'!AA5</f>
        <v>195428</v>
      </c>
      <c r="F10" s="20">
        <v>195428</v>
      </c>
      <c r="G10" s="3">
        <f>+E10-F10</f>
        <v>0</v>
      </c>
    </row>
    <row r="11" spans="2:7" x14ac:dyDescent="0.3">
      <c r="B11" s="7"/>
      <c r="C11" s="9" t="s">
        <v>52</v>
      </c>
      <c r="D11" s="7"/>
      <c r="E11" s="19"/>
      <c r="F11" s="3"/>
      <c r="G11" s="3"/>
    </row>
    <row r="12" spans="2:7" x14ac:dyDescent="0.3">
      <c r="B12" s="7"/>
      <c r="C12" s="9" t="s">
        <v>53</v>
      </c>
      <c r="D12" s="7"/>
      <c r="E12" s="19">
        <f>+'02.2026'!$U$5</f>
        <v>674078</v>
      </c>
    </row>
    <row r="13" spans="2:7" x14ac:dyDescent="0.3">
      <c r="B13" s="7"/>
      <c r="C13" s="9"/>
      <c r="D13" s="7"/>
      <c r="E13" s="17"/>
    </row>
    <row r="14" spans="2:7" ht="15" thickBot="1" x14ac:dyDescent="0.35">
      <c r="B14" s="21"/>
      <c r="C14" s="22"/>
      <c r="D14" s="21"/>
      <c r="E14" s="23"/>
    </row>
    <row r="15" spans="2:7" ht="15" thickBot="1" x14ac:dyDescent="0.35">
      <c r="D15" s="24">
        <f>SUM(D6:D14)</f>
        <v>869506</v>
      </c>
      <c r="E15" s="25">
        <f>SUM(E6:E14)</f>
        <v>869506</v>
      </c>
      <c r="G15" s="26">
        <f>+'02.2026'!$AB$5</f>
        <v>869506</v>
      </c>
    </row>
    <row r="16" spans="2:7" x14ac:dyDescent="0.3">
      <c r="D16" s="3">
        <f>D15-G15</f>
        <v>0</v>
      </c>
      <c r="E16" s="3">
        <f>E15-G15</f>
        <v>0</v>
      </c>
    </row>
    <row r="20" spans="2:11" ht="15" thickBot="1" x14ac:dyDescent="0.35"/>
    <row r="21" spans="2:11" x14ac:dyDescent="0.3">
      <c r="B21" s="4"/>
      <c r="C21" s="5" t="s">
        <v>54</v>
      </c>
      <c r="D21" s="5"/>
      <c r="E21" s="6"/>
      <c r="H21" s="3"/>
    </row>
    <row r="22" spans="2:11" x14ac:dyDescent="0.3">
      <c r="B22" s="7"/>
      <c r="C22" s="8" t="s">
        <v>43</v>
      </c>
      <c r="D22" s="8"/>
      <c r="E22" s="9"/>
      <c r="H22" s="3"/>
      <c r="I22" s="3"/>
    </row>
    <row r="23" spans="2:11" ht="15" thickBot="1" x14ac:dyDescent="0.35">
      <c r="B23" s="21"/>
      <c r="C23" s="27"/>
      <c r="D23" s="27"/>
      <c r="E23" s="22"/>
    </row>
    <row r="24" spans="2:11" ht="15" thickBot="1" x14ac:dyDescent="0.35">
      <c r="B24" s="10" t="s">
        <v>44</v>
      </c>
      <c r="C24" s="11"/>
      <c r="D24" s="13" t="s">
        <v>45</v>
      </c>
      <c r="E24" s="28" t="s">
        <v>46</v>
      </c>
      <c r="K24" s="29"/>
    </row>
    <row r="25" spans="2:11" x14ac:dyDescent="0.3">
      <c r="B25" s="7"/>
      <c r="D25" s="30"/>
      <c r="E25" s="31"/>
      <c r="K25" s="29"/>
    </row>
    <row r="26" spans="2:11" x14ac:dyDescent="0.3">
      <c r="B26" s="7"/>
      <c r="C26" t="s">
        <v>55</v>
      </c>
      <c r="D26" s="32">
        <v>0</v>
      </c>
      <c r="E26" s="9"/>
    </row>
    <row r="27" spans="2:11" ht="15" thickBot="1" x14ac:dyDescent="0.35">
      <c r="B27" s="7"/>
      <c r="C27" t="s">
        <v>56</v>
      </c>
      <c r="D27" s="17"/>
      <c r="E27" s="33">
        <v>0</v>
      </c>
      <c r="K27" s="26">
        <f>SUM(K24:K26)</f>
        <v>0</v>
      </c>
    </row>
    <row r="28" spans="2:11" ht="15" thickTop="1" x14ac:dyDescent="0.3">
      <c r="B28" s="7"/>
      <c r="D28" s="17"/>
      <c r="E28" s="9"/>
    </row>
    <row r="29" spans="2:11" ht="15" thickBot="1" x14ac:dyDescent="0.35">
      <c r="B29" s="21"/>
      <c r="C29" s="27"/>
      <c r="D29" s="23"/>
      <c r="E29" s="22"/>
    </row>
    <row r="30" spans="2:11" ht="15" thickBot="1" x14ac:dyDescent="0.35">
      <c r="D30" s="34">
        <f>SUM(D26:D29)</f>
        <v>0</v>
      </c>
      <c r="E30" s="35">
        <f>SUM(E26:E29)</f>
        <v>0</v>
      </c>
    </row>
    <row r="31" spans="2:11" ht="15" thickTop="1" x14ac:dyDescent="0.3"/>
  </sheetData>
  <mergeCells count="6">
    <mergeCell ref="C2:D2"/>
    <mergeCell ref="C3:D3"/>
    <mergeCell ref="B4:C4"/>
    <mergeCell ref="C21:D21"/>
    <mergeCell ref="C22:D22"/>
    <mergeCell ref="B24:C2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A13D17-5945-4CA7-905B-6409CFB29A8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4064126C-B5E7-4007-9343-E86F8F46DE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3843AA-6FDD-48B5-9391-035247E20C5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02.2026</vt:lpstr>
      <vt:lpstr>Centralizacion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Larenas</cp:lastModifiedBy>
  <dcterms:created xsi:type="dcterms:W3CDTF">2026-02-23T20:32:48Z</dcterms:created>
  <dcterms:modified xsi:type="dcterms:W3CDTF">2026-03-24T17:55:18Z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