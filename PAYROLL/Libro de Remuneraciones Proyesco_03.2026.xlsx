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19_Camila_Larenas/REMU/Proyesco Chile SpA/Proceso Remu 2026/03.2026/"/>
    </mc:Choice>
  </mc:AlternateContent>
  <xr:revisionPtr revIDLastSave="13" documentId="13_ncr:1_{43B77F60-4145-4221-A0C8-913F007C181B}" xr6:coauthVersionLast="47" xr6:coauthVersionMax="47" xr10:uidLastSave="{523CB800-7057-4F47-A982-1979C199C49C}"/>
  <bookViews>
    <workbookView xWindow="28680" yWindow="-7935" windowWidth="29040" windowHeight="15720" xr2:uid="{00000000-000D-0000-FFFF-FFFF00000000}"/>
  </bookViews>
  <sheets>
    <sheet name="03.2026" sheetId="1" r:id="rId1"/>
    <sheet name="Centralizac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E12" i="2"/>
  <c r="E10" i="2"/>
  <c r="D7" i="2"/>
  <c r="D6" i="2"/>
  <c r="E30" i="2"/>
  <c r="D30" i="2"/>
  <c r="K27" i="2"/>
  <c r="AB8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S5" i="1"/>
  <c r="E15" i="2" l="1"/>
  <c r="E16" i="2" s="1"/>
  <c r="D15" i="2"/>
  <c r="D16" i="2" s="1"/>
  <c r="G10" i="2"/>
</calcChain>
</file>

<file path=xl/sharedStrings.xml><?xml version="1.0" encoding="utf-8"?>
<sst xmlns="http://schemas.openxmlformats.org/spreadsheetml/2006/main" count="129" uniqueCount="66">
  <si>
    <t>razon social rut</t>
  </si>
  <si>
    <t>mes</t>
  </si>
  <si>
    <t>rut</t>
  </si>
  <si>
    <t>nombre</t>
  </si>
  <si>
    <t>apellido paterno</t>
  </si>
  <si>
    <t>apellido materno</t>
  </si>
  <si>
    <t>centro costo nombre</t>
  </si>
  <si>
    <t>cargo</t>
  </si>
  <si>
    <t>afp nombre</t>
  </si>
  <si>
    <t>prevision nombre</t>
  </si>
  <si>
    <t>isapre monto pactado</t>
  </si>
  <si>
    <t>tipo contrato</t>
  </si>
  <si>
    <t>fecha contratacion</t>
  </si>
  <si>
    <t>contrato hasta</t>
  </si>
  <si>
    <t>Días Trabajados</t>
  </si>
  <si>
    <t>Días Ausencia</t>
  </si>
  <si>
    <t>Dias Vacaciones Mes</t>
  </si>
  <si>
    <t>Días Licencia</t>
  </si>
  <si>
    <t>Sueldo Base</t>
  </si>
  <si>
    <t>Gratificación Mensual</t>
  </si>
  <si>
    <t>Suma de Haberes Afectos</t>
  </si>
  <si>
    <t>Suma de Haberes</t>
  </si>
  <si>
    <t>AFP</t>
  </si>
  <si>
    <t>Fonasa</t>
  </si>
  <si>
    <t>Suma de Leyes Sociales</t>
  </si>
  <si>
    <t>Impuestos</t>
  </si>
  <si>
    <t>Suma Descuentos Legales, Impuestos y Por planilla</t>
  </si>
  <si>
    <t>Liquido a Pago</t>
  </si>
  <si>
    <t>Seguro Invalidez y Supervivencia (SIS)</t>
  </si>
  <si>
    <t>Seguro Cesantia Empleador</t>
  </si>
  <si>
    <t>Seguro Cesantia (Fondo Solidario)</t>
  </si>
  <si>
    <t>Seguro accidentes del Trabajo</t>
  </si>
  <si>
    <t>Capitalización Individual AFP</t>
  </si>
  <si>
    <t>Expectativa de Vida</t>
  </si>
  <si>
    <t>Costo Empresa</t>
  </si>
  <si>
    <t>77656064-2</t>
  </si>
  <si>
    <t>44606242-5</t>
  </si>
  <si>
    <t>CHRISTIAN ROLANDO</t>
  </si>
  <si>
    <t>SAINT</t>
  </si>
  <si>
    <t>GERMAIN</t>
  </si>
  <si>
    <t>Supervisor de Comunicaciones</t>
  </si>
  <si>
    <t>Uno</t>
  </si>
  <si>
    <t>Plazo Fijo</t>
  </si>
  <si>
    <t>15/02/2026</t>
  </si>
  <si>
    <t>30/11/2026</t>
  </si>
  <si>
    <t>44606258-1</t>
  </si>
  <si>
    <t>GALO ANDRES</t>
  </si>
  <si>
    <t>TOBAR</t>
  </si>
  <si>
    <t>CISNEROS</t>
  </si>
  <si>
    <t xml:space="preserve"> </t>
  </si>
  <si>
    <t>CENTRALIZACION PROYESCO</t>
  </si>
  <si>
    <t>FEBRERO 2025</t>
  </si>
  <si>
    <t>Cuentas</t>
  </si>
  <si>
    <t>D E B E</t>
  </si>
  <si>
    <t>H A B E R</t>
  </si>
  <si>
    <t>REMUNERACIONES</t>
  </si>
  <si>
    <t>LEYES SOCIALES</t>
  </si>
  <si>
    <t xml:space="preserve">IMPUESTO UNICO A LOS TRABAJADORES </t>
  </si>
  <si>
    <t>IMPUESTO RELIQUIDADO</t>
  </si>
  <si>
    <t>PREVIRED POR PAGAR</t>
  </si>
  <si>
    <t>ANTICIPO DE SUELDO</t>
  </si>
  <si>
    <t>SUELDOS POR PAGAR</t>
  </si>
  <si>
    <t>CENTRALIZACION FINIQUITO</t>
  </si>
  <si>
    <t>FINIQUITOS</t>
  </si>
  <si>
    <t>FINIQUITOS POR PAGAR</t>
  </si>
  <si>
    <t>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</si>
</sst>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* #,##0_ ;_ &quot;$&quot;* \-#,##0_ ;_ &quot;$&quot;* &quot;-&quot;_ ;_ @_ "/>
    <numFmt numFmtId="165" formatCode="_ * #,##0.00_ ;_ * \-#,##0.00_ ;_ * &quot;-&quot;??_ ;_ @_ "/>
    <numFmt numFmtId="166" formatCode="_-* #,##0\ _P_t_s_-;\-* #,##0\ _P_t_s_-;_-* &quot;-&quot;??\ _P_t_s_-;_-@_-"/>
    <numFmt numFmtId="167" formatCode="_ [$$-340A]* #,##0_ ;_ [$$-340A]* \-#,##0_ ;_ [$$-340A]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545454"/>
      <name val="Trebuchet MS"/>
      <family val="2"/>
    </font>
    <font>
      <sz val="8"/>
      <name val="Arial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1" applyFont="1"/>
    <xf numFmtId="164" fontId="2" fillId="0" borderId="0" xfId="1" applyFont="1"/>
    <xf numFmtId="3" fontId="3" fillId="0" borderId="0" xfId="0" applyNumberFormat="1" applyFont="1"/>
    <xf numFmtId="164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49" fontId="0" fillId="0" borderId="0" xfId="0" applyNumberFormat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6" fontId="4" fillId="2" borderId="6" xfId="2" applyNumberFormat="1" applyFont="1" applyFill="1" applyBorder="1" applyAlignment="1">
      <alignment horizontal="center"/>
    </xf>
    <xf numFmtId="166" fontId="4" fillId="2" borderId="8" xfId="2" applyNumberFormat="1" applyFont="1" applyFill="1" applyBorder="1" applyAlignment="1">
      <alignment horizontal="center"/>
    </xf>
    <xf numFmtId="166" fontId="4" fillId="2" borderId="4" xfId="2" applyNumberFormat="1" applyFont="1" applyFill="1" applyBorder="1" applyAlignment="1">
      <alignment horizontal="center"/>
    </xf>
    <xf numFmtId="166" fontId="4" fillId="2" borderId="9" xfId="2" applyNumberFormat="1" applyFont="1" applyFill="1" applyBorder="1" applyAlignment="1">
      <alignment horizontal="center"/>
    </xf>
    <xf numFmtId="164" fontId="0" fillId="0" borderId="4" xfId="0" applyNumberFormat="1" applyBorder="1"/>
    <xf numFmtId="0" fontId="0" fillId="0" borderId="9" xfId="0" applyBorder="1"/>
    <xf numFmtId="167" fontId="0" fillId="0" borderId="0" xfId="0" applyNumberFormat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5" fillId="0" borderId="6" xfId="0" applyNumberFormat="1" applyFont="1" applyBorder="1"/>
    <xf numFmtId="164" fontId="5" fillId="0" borderId="7" xfId="0" applyNumberFormat="1" applyFont="1" applyBorder="1"/>
    <xf numFmtId="164" fontId="5" fillId="0" borderId="13" xfId="0" applyNumberFormat="1" applyFont="1" applyBorder="1"/>
    <xf numFmtId="0" fontId="0" fillId="0" borderId="14" xfId="0" applyBorder="1"/>
    <xf numFmtId="166" fontId="4" fillId="2" borderId="7" xfId="2" applyNumberFormat="1" applyFont="1" applyFill="1" applyBorder="1" applyAlignment="1">
      <alignment horizontal="center"/>
    </xf>
    <xf numFmtId="164" fontId="0" fillId="0" borderId="0" xfId="3" applyFont="1"/>
    <xf numFmtId="166" fontId="4" fillId="2" borderId="15" xfId="2" applyNumberFormat="1" applyFont="1" applyFill="1" applyBorder="1" applyAlignment="1">
      <alignment horizontal="center"/>
    </xf>
    <xf numFmtId="166" fontId="4" fillId="2" borderId="5" xfId="2" applyNumberFormat="1" applyFont="1" applyFill="1" applyBorder="1" applyAlignment="1">
      <alignment horizontal="center"/>
    </xf>
    <xf numFmtId="164" fontId="0" fillId="0" borderId="9" xfId="3" applyFont="1" applyBorder="1"/>
    <xf numFmtId="164" fontId="0" fillId="0" borderId="5" xfId="0" applyNumberFormat="1" applyBorder="1"/>
    <xf numFmtId="164" fontId="5" fillId="0" borderId="16" xfId="0" applyNumberFormat="1" applyFont="1" applyBorder="1"/>
    <xf numFmtId="164" fontId="5" fillId="0" borderId="17" xfId="0" applyNumberFormat="1" applyFont="1" applyBorder="1"/>
  </cellXfs>
  <cellStyles count="4">
    <cellStyle name="Comma 2" xfId="2" xr:uid="{F2B32AE1-6E98-4CC6-B3E8-5BD491F98838}"/>
    <cellStyle name="Currency [0]" xfId="1" builtinId="7"/>
    <cellStyle name="Currency [0] 2" xfId="3" xr:uid="{CEF2861B-BEFD-4261-9085-CEFFC22F4714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449580</xdr:colOff>
      <xdr:row>16</xdr:row>
      <xdr:rowOff>161925</xdr:rowOff>
    </xdr:from>
    <xdr:to>
      <xdr:col>28</xdr:col>
      <xdr:colOff>278689</xdr:colOff>
      <xdr:row>30</xdr:row>
      <xdr:rowOff>30691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49AA03-1427-A29D-4FD1-58C495912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8005" y="3067050"/>
          <a:ext cx="6458509" cy="24024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11</xdr:row>
      <xdr:rowOff>0</xdr:rowOff>
    </xdr:from>
    <xdr:to>
      <xdr:col>24</xdr:col>
      <xdr:colOff>181534</xdr:colOff>
      <xdr:row>23</xdr:row>
      <xdr:rowOff>181186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FE81ACAF-6C56-4243-B09C-A33A6DBE8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8675" y="2028825"/>
          <a:ext cx="6469939" cy="2392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showGridLines="0" tabSelected="1" topLeftCell="Q1" workbookViewId="0">
      <selection activeCell="Z5" sqref="Z5"/>
    </sheetView>
  </sheetViews>
  <sheetFormatPr defaultColWidth="8.88671875" defaultRowHeight="14.4" x14ac:dyDescent="0.3"/>
  <cols>
    <col min="19" max="19" width="15.5546875" bestFit="1" customWidth="1"/>
    <col min="20" max="20" width="14" bestFit="1" customWidth="1"/>
    <col min="21" max="22" width="15.5546875" bestFit="1" customWidth="1"/>
    <col min="23" max="25" width="14" bestFit="1" customWidth="1"/>
    <col min="26" max="26" width="9.44140625" bestFit="1" customWidth="1"/>
    <col min="27" max="27" width="14" bestFit="1" customWidth="1"/>
    <col min="28" max="28" width="15.5546875" bestFit="1" customWidth="1"/>
    <col min="29" max="30" width="13" bestFit="1" customWidth="1"/>
    <col min="31" max="31" width="12" bestFit="1" customWidth="1"/>
    <col min="32" max="32" width="13" bestFit="1" customWidth="1"/>
    <col min="33" max="33" width="12" bestFit="1" customWidth="1"/>
    <col min="34" max="34" width="13" bestFit="1" customWidth="1"/>
    <col min="35" max="35" width="15.5546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>
        <v>3</v>
      </c>
      <c r="C2" t="s">
        <v>36</v>
      </c>
      <c r="D2" t="s">
        <v>37</v>
      </c>
      <c r="E2" t="s">
        <v>38</v>
      </c>
      <c r="F2" t="s">
        <v>39</v>
      </c>
      <c r="H2" t="s">
        <v>40</v>
      </c>
      <c r="I2" t="s">
        <v>41</v>
      </c>
      <c r="J2" t="s">
        <v>23</v>
      </c>
      <c r="L2" t="s">
        <v>42</v>
      </c>
      <c r="M2" t="s">
        <v>43</v>
      </c>
      <c r="N2" t="s">
        <v>44</v>
      </c>
      <c r="O2">
        <v>30</v>
      </c>
      <c r="P2">
        <v>0</v>
      </c>
      <c r="Q2">
        <v>0</v>
      </c>
      <c r="R2">
        <v>0</v>
      </c>
      <c r="S2" s="1">
        <v>700000</v>
      </c>
      <c r="T2" s="1">
        <v>175000</v>
      </c>
      <c r="U2" s="1">
        <v>875000</v>
      </c>
      <c r="V2" s="1">
        <v>875000</v>
      </c>
      <c r="W2" s="1">
        <v>91525</v>
      </c>
      <c r="X2" s="1">
        <v>61250</v>
      </c>
      <c r="Y2" s="1">
        <v>152775</v>
      </c>
      <c r="Z2" s="1">
        <v>0</v>
      </c>
      <c r="AA2" s="1">
        <v>152775</v>
      </c>
      <c r="AB2" s="1">
        <v>722225</v>
      </c>
      <c r="AC2" s="1">
        <v>13475</v>
      </c>
      <c r="AD2" s="1">
        <v>24500</v>
      </c>
      <c r="AE2" s="1">
        <v>1750</v>
      </c>
      <c r="AF2" s="1">
        <v>8138</v>
      </c>
      <c r="AG2" s="1">
        <v>875</v>
      </c>
      <c r="AH2" s="1">
        <v>7875</v>
      </c>
      <c r="AI2" s="1">
        <v>931613</v>
      </c>
    </row>
    <row r="3" spans="1:35" x14ac:dyDescent="0.3">
      <c r="A3" t="s">
        <v>35</v>
      </c>
      <c r="B3">
        <v>3</v>
      </c>
      <c r="C3" t="s">
        <v>45</v>
      </c>
      <c r="D3" t="s">
        <v>46</v>
      </c>
      <c r="E3" t="s">
        <v>47</v>
      </c>
      <c r="F3" t="s">
        <v>48</v>
      </c>
      <c r="H3" t="s">
        <v>40</v>
      </c>
      <c r="I3" t="s">
        <v>41</v>
      </c>
      <c r="J3" t="s">
        <v>23</v>
      </c>
      <c r="L3" t="s">
        <v>42</v>
      </c>
      <c r="M3" t="s">
        <v>43</v>
      </c>
      <c r="N3" t="s">
        <v>44</v>
      </c>
      <c r="O3">
        <v>30</v>
      </c>
      <c r="P3">
        <v>0</v>
      </c>
      <c r="Q3">
        <v>0</v>
      </c>
      <c r="R3">
        <v>0</v>
      </c>
      <c r="S3" s="1">
        <v>700000</v>
      </c>
      <c r="T3" s="1">
        <v>175000</v>
      </c>
      <c r="U3" s="1">
        <v>875000</v>
      </c>
      <c r="V3" s="1">
        <v>875000</v>
      </c>
      <c r="W3" s="1">
        <v>91525</v>
      </c>
      <c r="X3" s="1">
        <v>61250</v>
      </c>
      <c r="Y3" s="1">
        <v>152775</v>
      </c>
      <c r="Z3" s="1">
        <v>0</v>
      </c>
      <c r="AA3" s="1">
        <v>152775</v>
      </c>
      <c r="AB3" s="1">
        <v>722225</v>
      </c>
      <c r="AC3" s="1">
        <v>13475</v>
      </c>
      <c r="AD3" s="1">
        <v>24500</v>
      </c>
      <c r="AE3" s="1">
        <v>1750</v>
      </c>
      <c r="AF3" s="1">
        <v>8138</v>
      </c>
      <c r="AG3" s="1">
        <v>875</v>
      </c>
      <c r="AH3" s="1">
        <v>7875</v>
      </c>
      <c r="AI3" s="1">
        <v>931613</v>
      </c>
    </row>
    <row r="4" spans="1:35" x14ac:dyDescent="0.3"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3">
      <c r="A5" t="s">
        <v>49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s="2">
        <f>+S2+S3</f>
        <v>1400000</v>
      </c>
      <c r="T5" s="2">
        <f t="shared" ref="T5:AI5" si="0">+T2+T3</f>
        <v>350000</v>
      </c>
      <c r="U5" s="2">
        <f t="shared" si="0"/>
        <v>1750000</v>
      </c>
      <c r="V5" s="2">
        <f t="shared" si="0"/>
        <v>1750000</v>
      </c>
      <c r="W5" s="2">
        <f t="shared" si="0"/>
        <v>183050</v>
      </c>
      <c r="X5" s="2">
        <f t="shared" si="0"/>
        <v>122500</v>
      </c>
      <c r="Y5" s="2">
        <f t="shared" si="0"/>
        <v>305550</v>
      </c>
      <c r="Z5" s="2">
        <f t="shared" si="0"/>
        <v>0</v>
      </c>
      <c r="AA5" s="2">
        <f t="shared" si="0"/>
        <v>305550</v>
      </c>
      <c r="AB5" s="2">
        <f t="shared" si="0"/>
        <v>1444450</v>
      </c>
      <c r="AC5" s="2">
        <f t="shared" si="0"/>
        <v>26950</v>
      </c>
      <c r="AD5" s="2">
        <f t="shared" si="0"/>
        <v>49000</v>
      </c>
      <c r="AE5" s="2">
        <f t="shared" si="0"/>
        <v>3500</v>
      </c>
      <c r="AF5" s="2">
        <f t="shared" si="0"/>
        <v>16276</v>
      </c>
      <c r="AG5" s="2">
        <f t="shared" si="0"/>
        <v>1750</v>
      </c>
      <c r="AH5" s="2">
        <f t="shared" si="0"/>
        <v>15750</v>
      </c>
      <c r="AI5" s="2">
        <f t="shared" si="0"/>
        <v>1863226</v>
      </c>
    </row>
    <row r="6" spans="1:35" x14ac:dyDescent="0.3">
      <c r="A6" t="s">
        <v>49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</row>
    <row r="8" spans="1:35" x14ac:dyDescent="0.3">
      <c r="AB8" s="4">
        <f>+W5+X5+AD5+AE5+AF5+AG5+AH5+AC5</f>
        <v>418776</v>
      </c>
      <c r="AC8" s="4"/>
    </row>
    <row r="9" spans="1:35" ht="15" x14ac:dyDescent="0.35">
      <c r="AB9" s="3">
        <v>418776</v>
      </c>
    </row>
  </sheetData>
  <pageMargins left="0.75" right="0.75" top="1" bottom="1" header="0.5" footer="0.5"/>
  <headerFooter>
    <oddFooter>&amp;C_x000D_&amp;1#&amp;"Aptos"&amp;9&amp;K000000 Clasificación: Confidencial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F6DA-393E-41BC-B18D-1679966D5981}">
  <dimension ref="B1:K31"/>
  <sheetViews>
    <sheetView showGridLines="0" workbookViewId="0">
      <selection activeCell="H28" sqref="H28"/>
    </sheetView>
  </sheetViews>
  <sheetFormatPr defaultColWidth="9.109375" defaultRowHeight="14.4" x14ac:dyDescent="0.3"/>
  <cols>
    <col min="2" max="2" width="8" bestFit="1" customWidth="1"/>
    <col min="3" max="3" width="37.33203125" customWidth="1"/>
    <col min="4" max="4" width="20.109375" customWidth="1"/>
    <col min="5" max="5" width="13.6640625" customWidth="1"/>
    <col min="6" max="6" width="11.88671875" bestFit="1" customWidth="1"/>
    <col min="7" max="7" width="12.5546875" bestFit="1" customWidth="1"/>
    <col min="8" max="8" width="11" bestFit="1" customWidth="1"/>
  </cols>
  <sheetData>
    <row r="1" spans="2:7" ht="15" thickBot="1" x14ac:dyDescent="0.35"/>
    <row r="2" spans="2:7" x14ac:dyDescent="0.3">
      <c r="B2" s="5"/>
      <c r="C2" s="6" t="s">
        <v>50</v>
      </c>
      <c r="D2" s="6"/>
      <c r="E2" s="7"/>
    </row>
    <row r="3" spans="2:7" ht="15" thickBot="1" x14ac:dyDescent="0.35">
      <c r="B3" s="8"/>
      <c r="C3" s="9" t="s">
        <v>65</v>
      </c>
      <c r="D3" s="9"/>
      <c r="E3" s="10"/>
    </row>
    <row r="4" spans="2:7" ht="15" thickBot="1" x14ac:dyDescent="0.35">
      <c r="B4" s="11" t="s">
        <v>52</v>
      </c>
      <c r="C4" s="12"/>
      <c r="D4" s="13" t="s">
        <v>53</v>
      </c>
      <c r="E4" s="14" t="s">
        <v>54</v>
      </c>
    </row>
    <row r="5" spans="2:7" x14ac:dyDescent="0.3">
      <c r="B5" s="8"/>
      <c r="C5" s="10"/>
      <c r="D5" s="15"/>
      <c r="E5" s="16"/>
    </row>
    <row r="6" spans="2:7" x14ac:dyDescent="0.3">
      <c r="B6" s="8"/>
      <c r="C6" s="10" t="s">
        <v>55</v>
      </c>
      <c r="D6" s="17">
        <f>+'03.2026'!S5+'03.2026'!T5</f>
        <v>1750000</v>
      </c>
      <c r="E6" s="18"/>
    </row>
    <row r="7" spans="2:7" x14ac:dyDescent="0.3">
      <c r="B7" s="8"/>
      <c r="C7" s="10" t="s">
        <v>56</v>
      </c>
      <c r="D7" s="17">
        <f>+'03.2026'!AH5+'03.2026'!AG5+'03.2026'!AF5+'03.2026'!AE5+'03.2026'!AD5+'03.2026'!AC5</f>
        <v>113226</v>
      </c>
      <c r="E7" s="18"/>
      <c r="F7" s="19"/>
    </row>
    <row r="8" spans="2:7" x14ac:dyDescent="0.3">
      <c r="B8" s="8"/>
      <c r="C8" s="10" t="s">
        <v>57</v>
      </c>
      <c r="D8" s="17"/>
      <c r="E8" s="20">
        <v>0</v>
      </c>
    </row>
    <row r="9" spans="2:7" x14ac:dyDescent="0.3">
      <c r="B9" s="8"/>
      <c r="C9" s="10" t="s">
        <v>58</v>
      </c>
      <c r="D9" s="17"/>
      <c r="E9" s="20"/>
    </row>
    <row r="10" spans="2:7" ht="15" x14ac:dyDescent="0.35">
      <c r="B10" s="8"/>
      <c r="C10" s="10" t="s">
        <v>59</v>
      </c>
      <c r="D10" s="8"/>
      <c r="E10" s="20">
        <f>+'03.2026'!W5+'03.2026'!X5+'03.2026'!AC5+'03.2026'!AD5+'03.2026'!AE5+'03.2026'!AF5+'03.2026'!AG5+'03.2026'!AH5</f>
        <v>418776</v>
      </c>
      <c r="F10" s="3">
        <v>418776</v>
      </c>
      <c r="G10" s="4">
        <f>+E10-F10</f>
        <v>0</v>
      </c>
    </row>
    <row r="11" spans="2:7" x14ac:dyDescent="0.3">
      <c r="B11" s="8"/>
      <c r="C11" s="10" t="s">
        <v>60</v>
      </c>
      <c r="D11" s="8"/>
      <c r="E11" s="20"/>
      <c r="F11" s="4"/>
      <c r="G11" s="4"/>
    </row>
    <row r="12" spans="2:7" x14ac:dyDescent="0.3">
      <c r="B12" s="8"/>
      <c r="C12" s="10" t="s">
        <v>61</v>
      </c>
      <c r="D12" s="8"/>
      <c r="E12" s="20">
        <f>+'03.2026'!AB5</f>
        <v>1444450</v>
      </c>
    </row>
    <row r="13" spans="2:7" x14ac:dyDescent="0.3">
      <c r="B13" s="8"/>
      <c r="C13" s="10"/>
      <c r="D13" s="8"/>
      <c r="E13" s="18"/>
    </row>
    <row r="14" spans="2:7" ht="15" thickBot="1" x14ac:dyDescent="0.35">
      <c r="B14" s="21"/>
      <c r="C14" s="22"/>
      <c r="D14" s="21"/>
      <c r="E14" s="23"/>
    </row>
    <row r="15" spans="2:7" ht="15" thickBot="1" x14ac:dyDescent="0.35">
      <c r="D15" s="24">
        <f>SUM(D6:D14)</f>
        <v>1863226</v>
      </c>
      <c r="E15" s="25">
        <f>SUM(E6:E14)</f>
        <v>1863226</v>
      </c>
      <c r="G15" s="26">
        <f>+'03.2026'!AI5</f>
        <v>1863226</v>
      </c>
    </row>
    <row r="16" spans="2:7" x14ac:dyDescent="0.3">
      <c r="D16" s="4">
        <f>D15-G15</f>
        <v>0</v>
      </c>
      <c r="E16" s="4">
        <f>E15-G15</f>
        <v>0</v>
      </c>
    </row>
    <row r="20" spans="2:11" ht="15" thickBot="1" x14ac:dyDescent="0.35"/>
    <row r="21" spans="2:11" x14ac:dyDescent="0.3">
      <c r="B21" s="5"/>
      <c r="C21" s="6" t="s">
        <v>62</v>
      </c>
      <c r="D21" s="6"/>
      <c r="E21" s="7"/>
      <c r="H21" s="4"/>
    </row>
    <row r="22" spans="2:11" x14ac:dyDescent="0.3">
      <c r="B22" s="8"/>
      <c r="C22" s="9" t="s">
        <v>51</v>
      </c>
      <c r="D22" s="9"/>
      <c r="E22" s="10"/>
      <c r="H22" s="4"/>
      <c r="I22" s="4"/>
    </row>
    <row r="23" spans="2:11" ht="15" thickBot="1" x14ac:dyDescent="0.35">
      <c r="B23" s="21"/>
      <c r="C23" s="27"/>
      <c r="D23" s="27"/>
      <c r="E23" s="22"/>
    </row>
    <row r="24" spans="2:11" ht="15" thickBot="1" x14ac:dyDescent="0.35">
      <c r="B24" s="11" t="s">
        <v>52</v>
      </c>
      <c r="C24" s="12"/>
      <c r="D24" s="14" t="s">
        <v>53</v>
      </c>
      <c r="E24" s="28" t="s">
        <v>54</v>
      </c>
      <c r="K24" s="29"/>
    </row>
    <row r="25" spans="2:11" x14ac:dyDescent="0.3">
      <c r="B25" s="8"/>
      <c r="D25" s="30"/>
      <c r="E25" s="31"/>
      <c r="K25" s="29"/>
    </row>
    <row r="26" spans="2:11" x14ac:dyDescent="0.3">
      <c r="B26" s="8"/>
      <c r="C26" t="s">
        <v>63</v>
      </c>
      <c r="D26" s="32">
        <v>0</v>
      </c>
      <c r="E26" s="10"/>
    </row>
    <row r="27" spans="2:11" ht="15" thickBot="1" x14ac:dyDescent="0.35">
      <c r="B27" s="8"/>
      <c r="C27" t="s">
        <v>64</v>
      </c>
      <c r="D27" s="18"/>
      <c r="E27" s="33">
        <v>0</v>
      </c>
      <c r="K27" s="26">
        <f>SUM(K24:K26)</f>
        <v>0</v>
      </c>
    </row>
    <row r="28" spans="2:11" ht="15" thickTop="1" x14ac:dyDescent="0.3">
      <c r="B28" s="8"/>
      <c r="D28" s="18"/>
      <c r="E28" s="10"/>
    </row>
    <row r="29" spans="2:11" ht="15" thickBot="1" x14ac:dyDescent="0.35">
      <c r="B29" s="21"/>
      <c r="C29" s="27"/>
      <c r="D29" s="23"/>
      <c r="E29" s="22"/>
    </row>
    <row r="30" spans="2:11" ht="15" thickBot="1" x14ac:dyDescent="0.35">
      <c r="D30" s="34">
        <f>SUM(D26:D29)</f>
        <v>0</v>
      </c>
      <c r="E30" s="35">
        <f>SUM(E26:E29)</f>
        <v>0</v>
      </c>
    </row>
    <row r="31" spans="2:11" ht="15" thickTop="1" x14ac:dyDescent="0.3"/>
  </sheetData>
  <mergeCells count="6">
    <mergeCell ref="C2:D2"/>
    <mergeCell ref="C3:D3"/>
    <mergeCell ref="B4:C4"/>
    <mergeCell ref="C21:D21"/>
    <mergeCell ref="C22:D22"/>
    <mergeCell ref="B24:C2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438F09-F115-482D-999F-E1DB8A32F3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65F40FEC-64B0-4391-A991-231BDF2678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823EC3-312F-4869-BD5C-2255EE77C2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03.2026</vt:lpstr>
      <vt:lpstr>Centralizacion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Larenas</cp:lastModifiedBy>
  <dcterms:created xsi:type="dcterms:W3CDTF">2026-03-12T19:22:04Z</dcterms:created>
  <dcterms:modified xsi:type="dcterms:W3CDTF">2026-03-24T17:56:49Z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