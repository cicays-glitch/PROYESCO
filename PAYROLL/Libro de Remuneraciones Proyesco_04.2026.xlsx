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oErices\Downloads\"/>
    </mc:Choice>
  </mc:AlternateContent>
  <xr:revisionPtr revIDLastSave="0" documentId="13_ncr:1_{A0EBA2D6-AE18-4002-8490-31E0E888A6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4.2026" sheetId="1" r:id="rId1"/>
    <sheet name="Centraliz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5" i="2" s="1"/>
  <c r="G15" i="2"/>
  <c r="E12" i="2"/>
  <c r="D7" i="2"/>
  <c r="D6" i="2"/>
  <c r="E30" i="2"/>
  <c r="D30" i="2"/>
  <c r="K27" i="2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N5" i="1"/>
  <c r="E16" i="2" l="1"/>
  <c r="D15" i="2"/>
  <c r="D16" i="2" s="1"/>
  <c r="G10" i="2"/>
</calcChain>
</file>

<file path=xl/sharedStrings.xml><?xml version="1.0" encoding="utf-8"?>
<sst xmlns="http://schemas.openxmlformats.org/spreadsheetml/2006/main" count="108" uniqueCount="58">
  <si>
    <t>razon social rut</t>
  </si>
  <si>
    <t>mes</t>
  </si>
  <si>
    <t>rut</t>
  </si>
  <si>
    <t>nombre</t>
  </si>
  <si>
    <t>apellido paterno</t>
  </si>
  <si>
    <t>apellido materno</t>
  </si>
  <si>
    <t>cargo</t>
  </si>
  <si>
    <t>fecha contratacion</t>
  </si>
  <si>
    <t>contrato hasta</t>
  </si>
  <si>
    <t>afp nombre</t>
  </si>
  <si>
    <t>prevision nombre</t>
  </si>
  <si>
    <t>isapre monto pactado</t>
  </si>
  <si>
    <t>Días Trabajados</t>
  </si>
  <si>
    <t>Sueldo Base</t>
  </si>
  <si>
    <t>Gratificación Mensual</t>
  </si>
  <si>
    <t>Renta Imponible</t>
  </si>
  <si>
    <t>Suma de Haberes</t>
  </si>
  <si>
    <t>AFP</t>
  </si>
  <si>
    <t>Salud 7% (Fonasa)</t>
  </si>
  <si>
    <t>Suma Descuentos Legales, Impuestos y Por planilla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</si>
  <si>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</si>
  <si>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</si>
  <si>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</si>
  <si>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</si>
  <si>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</si>
  <si>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Capitalización Individual AFP</t>
  </si>
  <si>
    <t>Expectativa de Vida</t>
  </si>
  <si>
    <t>Costo Empresa</t>
  </si>
  <si>
    <t>77656064-2</t>
  </si>
  <si>
    <t>44606242-5</t>
  </si>
  <si>
    <t>CHRISTIAN ROLANDO</t>
  </si>
  <si>
    <t>SAINT</t>
  </si>
  <si>
    <t>GERMAIN</t>
  </si>
  <si>
    <t>Supervisor de Comunicaciones</t>
  </si>
  <si>
    <t>15/02/2026</t>
  </si>
  <si>
    <t>30/11/2026</t>
  </si>
  <si>
    <t>Uno</t>
  </si>
  <si>
    <t>Fonasa</t>
  </si>
  <si>
    <t>44606258-1</t>
  </si>
  <si>
    <t>GALO ANDRES</t>
  </si>
  <si>
    <t>TOBAR</t>
  </si>
  <si>
    <t>CISNEROS</t>
  </si>
  <si>
    <t xml:space="preserve"> </t>
  </si>
  <si>
    <t>CENTRALIZACION PROYESCO</t>
  </si>
  <si>
    <t>Cuentas</t>
  </si>
  <si>
    <t>D E B E</t>
  </si>
  <si>
    <t>H A B E R</t>
  </si>
  <si>
    <t>REMUNERACIONES</t>
  </si>
  <si>
    <t>LEYES SOCIALES</t>
  </si>
  <si>
    <t xml:space="preserve">IMPUESTO UNICO A LOS TRABAJADORES </t>
  </si>
  <si>
    <t>IMPUESTO RELIQUIDADO</t>
  </si>
  <si>
    <t>PREVIRED POR PAGAR</t>
  </si>
  <si>
    <t>ANTICIPO DE SUELDO</t>
  </si>
  <si>
    <t>SUELDOS POR PAGAR</t>
  </si>
  <si>
    <t>CENTRALIZACION FINIQUITO</t>
  </si>
  <si>
    <t>FINIQUITOS</t>
  </si>
  <si>
    <t>FINIQUITOS POR PAGAR</t>
  </si>
  <si>
    <t>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</si>
</sst>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3" formatCode="_ * #,##0.00_ ;_ * \-#,##0.00_ ;_ * &quot;-&quot;??_ ;_ @_ "/>
    <numFmt numFmtId="164" formatCode="_-* #,##0\ _P_t_s_-;\-* #,##0\ _P_t_s_-;_-* &quot;-&quot;??\ _P_t_s_-;_-@_-"/>
    <numFmt numFmtId="165" formatCode="_ [$$-340A]* #,##0_ ;_ [$$-340A]* \-#,##0_ ;_ [$$-340A]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7"/>
      <color rgb="FF545454"/>
      <name val="Trebuchet MS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6">
    <xf numFmtId="0" fontId="0" fillId="0" borderId="0" xfId="0"/>
    <xf numFmtId="42" fontId="0" fillId="0" borderId="0" xfId="1" applyFont="1"/>
    <xf numFmtId="42" fontId="2" fillId="0" borderId="0" xfId="1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3" fillId="2" borderId="6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4" xfId="2" applyNumberFormat="1" applyFont="1" applyFill="1" applyBorder="1" applyAlignment="1">
      <alignment horizontal="center"/>
    </xf>
    <xf numFmtId="164" fontId="3" fillId="2" borderId="9" xfId="2" applyNumberFormat="1" applyFont="1" applyFill="1" applyBorder="1" applyAlignment="1">
      <alignment horizontal="center"/>
    </xf>
    <xf numFmtId="42" fontId="0" fillId="0" borderId="4" xfId="0" applyNumberFormat="1" applyBorder="1"/>
    <xf numFmtId="0" fontId="0" fillId="0" borderId="9" xfId="0" applyBorder="1"/>
    <xf numFmtId="165" fontId="0" fillId="0" borderId="0" xfId="0" applyNumberFormat="1"/>
    <xf numFmtId="42" fontId="0" fillId="0" borderId="9" xfId="0" applyNumberFormat="1" applyBorder="1"/>
    <xf numFmtId="3" fontId="4" fillId="0" borderId="0" xfId="0" applyNumberFormat="1" applyFont="1"/>
    <xf numFmtId="4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42" fontId="5" fillId="0" borderId="6" xfId="0" applyNumberFormat="1" applyFont="1" applyBorder="1"/>
    <xf numFmtId="42" fontId="5" fillId="0" borderId="7" xfId="0" applyNumberFormat="1" applyFont="1" applyBorder="1"/>
    <xf numFmtId="42" fontId="5" fillId="0" borderId="13" xfId="0" applyNumberFormat="1" applyFont="1" applyBorder="1"/>
    <xf numFmtId="0" fontId="0" fillId="0" borderId="14" xfId="0" applyBorder="1"/>
    <xf numFmtId="164" fontId="3" fillId="2" borderId="7" xfId="2" applyNumberFormat="1" applyFont="1" applyFill="1" applyBorder="1" applyAlignment="1">
      <alignment horizontal="center"/>
    </xf>
    <xf numFmtId="42" fontId="0" fillId="0" borderId="0" xfId="3" applyFont="1"/>
    <xf numFmtId="164" fontId="3" fillId="2" borderId="15" xfId="2" applyNumberFormat="1" applyFont="1" applyFill="1" applyBorder="1" applyAlignment="1">
      <alignment horizontal="center"/>
    </xf>
    <xf numFmtId="164" fontId="3" fillId="2" borderId="5" xfId="2" applyNumberFormat="1" applyFont="1" applyFill="1" applyBorder="1" applyAlignment="1">
      <alignment horizontal="center"/>
    </xf>
    <xf numFmtId="42" fontId="0" fillId="0" borderId="9" xfId="3" applyFont="1" applyBorder="1"/>
    <xf numFmtId="42" fontId="0" fillId="0" borderId="5" xfId="0" applyNumberFormat="1" applyBorder="1"/>
    <xf numFmtId="42" fontId="5" fillId="0" borderId="16" xfId="0" applyNumberFormat="1" applyFont="1" applyBorder="1"/>
    <xf numFmtId="42" fontId="5" fillId="0" borderId="17" xfId="0" applyNumberFormat="1" applyFont="1" applyBorder="1"/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Comma 2" xfId="2" xr:uid="{C9AF5D28-3FD2-4DDE-9213-E17EECFD3CA4}"/>
    <cellStyle name="Currency [0] 2" xfId="3" xr:uid="{5214DBCD-1744-45F4-BE06-32AA213C7BD3}"/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167640</xdr:colOff>
      <xdr:row>3</xdr:row>
      <xdr:rowOff>114300</xdr:rowOff>
    </xdr:from>
    <xdr:to>
      <xdr:col>17</xdr:col>
      <xdr:colOff>328227</xdr:colOff>
      <xdr:row>15</xdr:row>
      <xdr:rowOff>84010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7CD89B-65A6-9423-AE4A-59DB1735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4320" y="678180"/>
          <a:ext cx="6538527" cy="219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showGridLines="0" workbookViewId="0">
      <selection activeCell="O17" sqref="O17"/>
    </sheetView>
  </sheetViews>
  <sheetFormatPr baseColWidth="10" defaultColWidth="8.88671875" defaultRowHeight="14.4" x14ac:dyDescent="0.3"/>
  <cols>
    <col min="14" max="14" width="15.5546875" bestFit="1" customWidth="1"/>
    <col min="15" max="15" width="14" bestFit="1" customWidth="1"/>
    <col min="16" max="17" width="15.5546875" bestFit="1" customWidth="1"/>
    <col min="18" max="20" width="14" bestFit="1" customWidth="1"/>
    <col min="21" max="21" width="15.5546875" bestFit="1" customWidth="1"/>
    <col min="22" max="23" width="13" bestFit="1" customWidth="1"/>
    <col min="24" max="24" width="12" bestFit="1" customWidth="1"/>
    <col min="25" max="25" width="13" bestFit="1" customWidth="1"/>
    <col min="26" max="26" width="12" bestFit="1" customWidth="1"/>
    <col min="27" max="27" width="13" bestFit="1" customWidth="1"/>
    <col min="28" max="28" width="15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4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>
        <v>30</v>
      </c>
      <c r="N2" s="1">
        <v>700000</v>
      </c>
      <c r="O2" s="1">
        <v>175000</v>
      </c>
      <c r="P2" s="1">
        <v>875000</v>
      </c>
      <c r="Q2" s="1">
        <v>875000</v>
      </c>
      <c r="R2" s="1">
        <v>91525</v>
      </c>
      <c r="S2" s="1">
        <v>61250</v>
      </c>
      <c r="T2" s="1">
        <v>152775</v>
      </c>
      <c r="U2" s="1">
        <v>722225</v>
      </c>
      <c r="V2" s="1">
        <v>8138</v>
      </c>
      <c r="W2" s="1">
        <v>24500</v>
      </c>
      <c r="X2" s="1">
        <v>1750</v>
      </c>
      <c r="Y2" s="1">
        <v>14175</v>
      </c>
      <c r="Z2" s="1">
        <v>875</v>
      </c>
      <c r="AA2" s="1">
        <v>7875</v>
      </c>
      <c r="AB2" s="1">
        <v>932313</v>
      </c>
    </row>
    <row r="3" spans="1:28" x14ac:dyDescent="0.3">
      <c r="A3" t="s">
        <v>28</v>
      </c>
      <c r="B3">
        <v>4</v>
      </c>
      <c r="C3" t="s">
        <v>38</v>
      </c>
      <c r="D3" t="s">
        <v>39</v>
      </c>
      <c r="E3" t="s">
        <v>40</v>
      </c>
      <c r="F3" t="s">
        <v>41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M3">
        <v>30</v>
      </c>
      <c r="N3" s="1">
        <v>700000</v>
      </c>
      <c r="O3" s="1">
        <v>175000</v>
      </c>
      <c r="P3" s="1">
        <v>875000</v>
      </c>
      <c r="Q3" s="1">
        <v>875000</v>
      </c>
      <c r="R3" s="1">
        <v>91525</v>
      </c>
      <c r="S3" s="1">
        <v>61250</v>
      </c>
      <c r="T3" s="1">
        <v>152775</v>
      </c>
      <c r="U3" s="1">
        <v>722225</v>
      </c>
      <c r="V3" s="1">
        <v>8138</v>
      </c>
      <c r="W3" s="1">
        <v>24500</v>
      </c>
      <c r="X3" s="1">
        <v>1750</v>
      </c>
      <c r="Y3" s="1">
        <v>14175</v>
      </c>
      <c r="Z3" s="1">
        <v>875</v>
      </c>
      <c r="AA3" s="1">
        <v>7875</v>
      </c>
      <c r="AB3" s="1">
        <v>932313</v>
      </c>
    </row>
    <row r="4" spans="1:28" x14ac:dyDescent="0.3"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2">
        <f>+SUM(N2:N3)</f>
        <v>1400000</v>
      </c>
      <c r="O5" s="2">
        <f t="shared" ref="O5:AB5" si="0">+SUM(O2:O3)</f>
        <v>350000</v>
      </c>
      <c r="P5" s="2">
        <f t="shared" si="0"/>
        <v>1750000</v>
      </c>
      <c r="Q5" s="2">
        <f t="shared" si="0"/>
        <v>1750000</v>
      </c>
      <c r="R5" s="2">
        <f t="shared" si="0"/>
        <v>183050</v>
      </c>
      <c r="S5" s="2">
        <f t="shared" si="0"/>
        <v>122500</v>
      </c>
      <c r="T5" s="2">
        <f t="shared" si="0"/>
        <v>305550</v>
      </c>
      <c r="U5" s="2">
        <f t="shared" si="0"/>
        <v>1444450</v>
      </c>
      <c r="V5" s="2">
        <f t="shared" si="0"/>
        <v>16276</v>
      </c>
      <c r="W5" s="2">
        <f t="shared" si="0"/>
        <v>49000</v>
      </c>
      <c r="X5" s="2">
        <f t="shared" si="0"/>
        <v>3500</v>
      </c>
      <c r="Y5" s="2">
        <f t="shared" si="0"/>
        <v>28350</v>
      </c>
      <c r="Z5" s="2">
        <f t="shared" si="0"/>
        <v>1750</v>
      </c>
      <c r="AA5" s="2">
        <f t="shared" si="0"/>
        <v>15750</v>
      </c>
      <c r="AB5" s="2">
        <f t="shared" si="0"/>
        <v>1864626</v>
      </c>
    </row>
    <row r="6" spans="1:28" x14ac:dyDescent="0.3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</row>
  </sheetData>
  <pageMargins left="0.75" right="0.75" top="1" bottom="1" header="0.5" footer="0.5"/>
  <pageSetup paperSize="9" orientation="portrait" r:id="rId1"/>
  <headerFooter>
    <oddFooter>&amp;C_x000D_&amp;1#&amp;"Aptos"&amp;9&amp;K000000 Clasificación: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EBC4-5807-4529-8EC9-EE9903AE76EC}">
  <dimension ref="B1:K31"/>
  <sheetViews>
    <sheetView showGridLines="0" tabSelected="1" workbookViewId="0">
      <selection activeCell="I18" sqref="I18"/>
    </sheetView>
  </sheetViews>
  <sheetFormatPr baseColWidth="10" defaultColWidth="9.109375" defaultRowHeight="14.4" x14ac:dyDescent="0.3"/>
  <cols>
    <col min="2" max="2" width="8" bestFit="1" customWidth="1"/>
    <col min="3" max="3" width="37.33203125" customWidth="1"/>
    <col min="4" max="4" width="20.109375" customWidth="1"/>
    <col min="5" max="5" width="13.6640625" customWidth="1"/>
    <col min="6" max="6" width="11.88671875" bestFit="1" customWidth="1"/>
    <col min="7" max="7" width="12.5546875" bestFit="1" customWidth="1"/>
    <col min="8" max="8" width="11" bestFit="1" customWidth="1"/>
  </cols>
  <sheetData>
    <row r="1" spans="2:7" ht="15" thickBot="1" x14ac:dyDescent="0.35"/>
    <row r="2" spans="2:7" x14ac:dyDescent="0.3">
      <c r="B2" s="3"/>
      <c r="C2" s="32" t="s">
        <v>43</v>
      </c>
      <c r="D2" s="32"/>
      <c r="E2" s="4"/>
    </row>
    <row r="3" spans="2:7" ht="15" thickBot="1" x14ac:dyDescent="0.35">
      <c r="B3" s="5"/>
      <c r="C3" s="33" t="s">
        <v>57</v>
      </c>
      <c r="D3" s="33"/>
      <c r="E3" s="6"/>
    </row>
    <row r="4" spans="2:7" ht="15" thickBot="1" x14ac:dyDescent="0.35">
      <c r="B4" s="34" t="s">
        <v>44</v>
      </c>
      <c r="C4" s="35"/>
      <c r="D4" s="7" t="s">
        <v>45</v>
      </c>
      <c r="E4" s="8" t="s">
        <v>46</v>
      </c>
    </row>
    <row r="5" spans="2:7" x14ac:dyDescent="0.3">
      <c r="B5" s="5"/>
      <c r="C5" s="6"/>
      <c r="D5" s="9"/>
      <c r="E5" s="10"/>
    </row>
    <row r="6" spans="2:7" x14ac:dyDescent="0.3">
      <c r="B6" s="5"/>
      <c r="C6" s="6" t="s">
        <v>47</v>
      </c>
      <c r="D6" s="11">
        <f>+'04.2026'!N5+'04.2026'!O5</f>
        <v>1750000</v>
      </c>
      <c r="E6" s="12"/>
    </row>
    <row r="7" spans="2:7" x14ac:dyDescent="0.3">
      <c r="B7" s="5"/>
      <c r="C7" s="6" t="s">
        <v>48</v>
      </c>
      <c r="D7" s="11">
        <f>+'04.2026'!V5+'04.2026'!W5+'04.2026'!X5+'04.2026'!Y5+'04.2026'!Z5+'04.2026'!AA5</f>
        <v>114626</v>
      </c>
      <c r="E7" s="12"/>
      <c r="F7" s="13"/>
    </row>
    <row r="8" spans="2:7" x14ac:dyDescent="0.3">
      <c r="B8" s="5"/>
      <c r="C8" s="6" t="s">
        <v>49</v>
      </c>
      <c r="D8" s="11"/>
      <c r="E8" s="14">
        <v>0</v>
      </c>
    </row>
    <row r="9" spans="2:7" x14ac:dyDescent="0.3">
      <c r="B9" s="5"/>
      <c r="C9" s="6" t="s">
        <v>50</v>
      </c>
      <c r="D9" s="11"/>
      <c r="E9" s="14"/>
    </row>
    <row r="10" spans="2:7" ht="15" x14ac:dyDescent="0.35">
      <c r="B10" s="5"/>
      <c r="C10" s="6" t="s">
        <v>51</v>
      </c>
      <c r="D10" s="5"/>
      <c r="E10" s="14">
        <f>+'04.2026'!R5+'04.2026'!S5+'04.2026'!V5+'04.2026'!W5+'04.2026'!X5+'04.2026'!Y5+'04.2026'!Z5+'04.2026'!AA5</f>
        <v>420176</v>
      </c>
      <c r="F10" s="15">
        <v>420176</v>
      </c>
      <c r="G10" s="16">
        <f>+E10-F10</f>
        <v>0</v>
      </c>
    </row>
    <row r="11" spans="2:7" x14ac:dyDescent="0.3">
      <c r="B11" s="5"/>
      <c r="C11" s="6" t="s">
        <v>52</v>
      </c>
      <c r="D11" s="5"/>
      <c r="E11" s="14"/>
      <c r="F11" s="16"/>
      <c r="G11" s="16"/>
    </row>
    <row r="12" spans="2:7" x14ac:dyDescent="0.3">
      <c r="B12" s="5"/>
      <c r="C12" s="6" t="s">
        <v>53</v>
      </c>
      <c r="D12" s="5"/>
      <c r="E12" s="14">
        <f>+'04.2026'!U5</f>
        <v>1444450</v>
      </c>
    </row>
    <row r="13" spans="2:7" x14ac:dyDescent="0.3">
      <c r="B13" s="5"/>
      <c r="C13" s="6"/>
      <c r="D13" s="5"/>
      <c r="E13" s="12"/>
    </row>
    <row r="14" spans="2:7" ht="15" thickBot="1" x14ac:dyDescent="0.35">
      <c r="B14" s="17"/>
      <c r="C14" s="18"/>
      <c r="D14" s="17"/>
      <c r="E14" s="19"/>
    </row>
    <row r="15" spans="2:7" ht="15" thickBot="1" x14ac:dyDescent="0.35">
      <c r="D15" s="20">
        <f>SUM(D6:D14)</f>
        <v>1864626</v>
      </c>
      <c r="E15" s="21">
        <f>SUM(E6:E14)</f>
        <v>1864626</v>
      </c>
      <c r="G15" s="22">
        <f>+'04.2026'!AB5</f>
        <v>1864626</v>
      </c>
    </row>
    <row r="16" spans="2:7" x14ac:dyDescent="0.3">
      <c r="D16" s="16">
        <f>D15-G15</f>
        <v>0</v>
      </c>
      <c r="E16" s="16">
        <f>E15-G15</f>
        <v>0</v>
      </c>
    </row>
    <row r="20" spans="2:11" ht="15" thickBot="1" x14ac:dyDescent="0.35"/>
    <row r="21" spans="2:11" x14ac:dyDescent="0.3">
      <c r="B21" s="3"/>
      <c r="C21" s="32" t="s">
        <v>54</v>
      </c>
      <c r="D21" s="32"/>
      <c r="E21" s="4"/>
      <c r="H21" s="16"/>
    </row>
    <row r="22" spans="2:11" x14ac:dyDescent="0.3">
      <c r="B22" s="5"/>
      <c r="C22" s="33" t="s">
        <v>57</v>
      </c>
      <c r="D22" s="33"/>
      <c r="E22" s="6"/>
      <c r="H22" s="16"/>
      <c r="I22" s="16"/>
    </row>
    <row r="23" spans="2:11" ht="15" thickBot="1" x14ac:dyDescent="0.35">
      <c r="B23" s="17"/>
      <c r="C23" s="23"/>
      <c r="D23" s="23"/>
      <c r="E23" s="18"/>
    </row>
    <row r="24" spans="2:11" ht="15" thickBot="1" x14ac:dyDescent="0.35">
      <c r="B24" s="34" t="s">
        <v>44</v>
      </c>
      <c r="C24" s="35"/>
      <c r="D24" s="8" t="s">
        <v>45</v>
      </c>
      <c r="E24" s="24" t="s">
        <v>46</v>
      </c>
      <c r="K24" s="25"/>
    </row>
    <row r="25" spans="2:11" x14ac:dyDescent="0.3">
      <c r="B25" s="5"/>
      <c r="D25" s="26"/>
      <c r="E25" s="27"/>
      <c r="K25" s="25"/>
    </row>
    <row r="26" spans="2:11" x14ac:dyDescent="0.3">
      <c r="B26" s="5"/>
      <c r="C26" t="s">
        <v>55</v>
      </c>
      <c r="D26" s="28">
        <v>0</v>
      </c>
      <c r="E26" s="6"/>
    </row>
    <row r="27" spans="2:11" ht="15" thickBot="1" x14ac:dyDescent="0.35">
      <c r="B27" s="5"/>
      <c r="C27" t="s">
        <v>56</v>
      </c>
      <c r="D27" s="12"/>
      <c r="E27" s="29">
        <v>0</v>
      </c>
      <c r="K27" s="22">
        <f>SUM(K24:K26)</f>
        <v>0</v>
      </c>
    </row>
    <row r="28" spans="2:11" ht="15" thickTop="1" x14ac:dyDescent="0.3">
      <c r="B28" s="5"/>
      <c r="D28" s="12"/>
      <c r="E28" s="6"/>
    </row>
    <row r="29" spans="2:11" ht="15" thickBot="1" x14ac:dyDescent="0.35">
      <c r="B29" s="17"/>
      <c r="C29" s="23"/>
      <c r="D29" s="19"/>
      <c r="E29" s="18"/>
    </row>
    <row r="30" spans="2:11" ht="15" thickBot="1" x14ac:dyDescent="0.35">
      <c r="D30" s="30">
        <f>SUM(D26:D29)</f>
        <v>0</v>
      </c>
      <c r="E30" s="31">
        <f>SUM(E26:E29)</f>
        <v>0</v>
      </c>
    </row>
    <row r="31" spans="2:11" ht="15" thickTop="1" x14ac:dyDescent="0.3"/>
  </sheetData>
  <mergeCells count="6">
    <mergeCell ref="B24:C24"/>
    <mergeCell ref="C2:D2"/>
    <mergeCell ref="C3:D3"/>
    <mergeCell ref="B4:C4"/>
    <mergeCell ref="C21:D21"/>
    <mergeCell ref="C22:D2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B3CA84-32C0-4C77-AB61-E5311FB68264}"/>
</file>

<file path=customXml/itemProps2.xml><?xml version="1.0" encoding="utf-8"?>
<ds:datastoreItem xmlns:ds="http://schemas.openxmlformats.org/officeDocument/2006/customXml" ds:itemID="{9D97D3D3-6DA0-4A1F-835B-76CE67D34097}"/>
</file>

<file path=customXml/itemProps3.xml><?xml version="1.0" encoding="utf-8"?>
<ds:datastoreItem xmlns:ds="http://schemas.openxmlformats.org/officeDocument/2006/customXml" ds:itemID="{B66AE953-A5DD-48F4-85F1-4DBBC9277BFB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04.2026</vt:lpstr>
      <vt:lpstr>Centralizacion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Erices</cp:lastModifiedBy>
  <dcterms:created xsi:type="dcterms:W3CDTF">2026-04-15T22:14:29Z</dcterms:created>
  <dcterms:modified xsi:type="dcterms:W3CDTF">2026-04-17T14:11:28Z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