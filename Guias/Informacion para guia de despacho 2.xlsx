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Guias\"/>
    </mc:Choice>
  </mc:AlternateContent>
  <xr:revisionPtr revIDLastSave="0" documentId="13_ncr:1_{31EE9657-2C22-4B88-BC29-C7D8AEC6C735}" xr6:coauthVersionLast="47" xr6:coauthVersionMax="47" xr10:uidLastSave="{00000000-0000-0000-0000-000000000000}"/>
  <bookViews>
    <workbookView xWindow="29325" yWindow="2715" windowWidth="15840" windowHeight="7470" activeTab="1" xr2:uid="{61C5FB1E-5D29-4273-9557-5CE275C74012}"/>
    <workbookView xWindow="28680" yWindow="1245" windowWidth="20730" windowHeight="11040" activeTab="1" xr2:uid="{FE655593-2B02-4AF8-980C-84400B79D5BE}"/>
  </bookViews>
  <sheets>
    <sheet name="Sheet1 (2)" sheetId="2" r:id="rId1"/>
    <sheet name="Sheet1" sheetId="1" r:id="rId2"/>
  </sheets>
  <externalReferences>
    <externalReference r:id="rId3"/>
  </externalReferences>
  <definedNames>
    <definedName name="_xlnm._FilterDatabase" localSheetId="0" hidden="1">'Sheet1 (2)'!$N$4:$T$23</definedName>
    <definedName name="_xlnm.Print_Area" localSheetId="1">Sheet1!$C$3:$I$124</definedName>
    <definedName name="C_00124_RM">[1]Erogacion!$P$137:$Q$137,[1]Erogacion!$L$88:$M$88,[1]Erogacion!$L$171:$M$174,[1]Erogacion!$L$178:$M$182,[1]Erogacion!$L$201:$M$204,[1]Erogacion!$L$208:$M$212,[1]Erogacion!$O$255:$O$256,[1]Erogacion!$P$264:$Q$264</definedName>
    <definedName name="CDR">#REF!</definedName>
    <definedName name="FDR">#REF!</definedName>
    <definedName name="GUS">#REF!</definedName>
    <definedName name="HDR">#REF!</definedName>
    <definedName name="HGU">#REF!</definedName>
    <definedName name="HPM">#REF!</definedName>
    <definedName name="I1x">#REF!</definedName>
    <definedName name="I2x">#REF!</definedName>
    <definedName name="I3x">#REF!</definedName>
    <definedName name="L1x">#REF!</definedName>
    <definedName name="L2x">#REF!</definedName>
    <definedName name="L3x">#REF!</definedName>
    <definedName name="L4x">#REF!</definedName>
    <definedName name="L5x">#REF!</definedName>
    <definedName name="L6x">#REF!</definedName>
    <definedName name="Marca">#REF!</definedName>
    <definedName name="S1x">#REF!</definedName>
    <definedName name="S2x">#REF!</definedName>
    <definedName name="S3x">#REF!</definedName>
    <definedName name="S4x">#REF!</definedName>
    <definedName name="S5x">#REF!</definedName>
    <definedName name="S6x">#REF!</definedName>
    <definedName name="S7x">#REF!</definedName>
    <definedName name="SDR">#REF!</definedName>
    <definedName name="SGU">#REF!</definedName>
    <definedName name="T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  <c r="I121" i="1"/>
  <c r="I120" i="1"/>
  <c r="I119" i="1"/>
  <c r="I118" i="1"/>
  <c r="I112" i="1"/>
  <c r="I109" i="1"/>
  <c r="I108" i="1"/>
  <c r="I107" i="1"/>
  <c r="I103" i="1"/>
  <c r="I102" i="1"/>
  <c r="I101" i="1"/>
  <c r="I100" i="1"/>
  <c r="I99" i="1"/>
  <c r="I98" i="1"/>
  <c r="I97" i="1"/>
  <c r="I96" i="1"/>
  <c r="S23" i="2" a="1"/>
  <c r="S23" i="2" s="1"/>
  <c r="S22" i="2" a="1"/>
  <c r="S22" i="2" s="1"/>
  <c r="S21" i="2" a="1"/>
  <c r="S21" i="2" s="1"/>
  <c r="S20" i="2" a="1"/>
  <c r="S20" i="2" s="1"/>
  <c r="S19" i="2" a="1"/>
  <c r="S19" i="2" s="1"/>
  <c r="S18" i="2" a="1"/>
  <c r="S18" i="2" s="1"/>
  <c r="S17" i="2" a="1"/>
  <c r="S17" i="2" s="1"/>
  <c r="S16" i="2" a="1"/>
  <c r="S16" i="2" s="1"/>
  <c r="S15" i="2" a="1"/>
  <c r="S15" i="2" s="1"/>
  <c r="S14" i="2" a="1"/>
  <c r="S14" i="2" s="1"/>
  <c r="S13" i="2" a="1"/>
  <c r="S13" i="2" s="1"/>
  <c r="S12" i="2" a="1"/>
  <c r="S12" i="2" s="1"/>
  <c r="S11" i="2" a="1"/>
  <c r="S11" i="2" s="1"/>
  <c r="S10" i="2" a="1"/>
  <c r="S10" i="2" s="1"/>
  <c r="S9" i="2" a="1"/>
  <c r="S9" i="2" s="1"/>
  <c r="S8" i="2" a="1"/>
  <c r="S8" i="2" s="1"/>
  <c r="S7" i="2" a="1"/>
  <c r="S7" i="2" s="1"/>
  <c r="S6" i="2" a="1"/>
  <c r="S6" i="2" s="1"/>
  <c r="S5" i="2" a="1"/>
  <c r="S5" i="2" s="1"/>
  <c r="R23" i="2"/>
  <c r="W23" i="2" s="1"/>
  <c r="R22" i="2"/>
  <c r="W22" i="2" s="1"/>
  <c r="R21" i="2"/>
  <c r="W21" i="2" s="1"/>
  <c r="R20" i="2"/>
  <c r="W20" i="2" s="1"/>
  <c r="R19" i="2"/>
  <c r="W19" i="2" s="1"/>
  <c r="R18" i="2"/>
  <c r="W18" i="2" s="1"/>
  <c r="R17" i="2"/>
  <c r="W17" i="2" s="1"/>
  <c r="R16" i="2"/>
  <c r="W16" i="2" s="1"/>
  <c r="R15" i="2"/>
  <c r="W15" i="2" s="1"/>
  <c r="R14" i="2"/>
  <c r="W14" i="2" s="1"/>
  <c r="R13" i="2"/>
  <c r="W13" i="2" s="1"/>
  <c r="R12" i="2"/>
  <c r="W12" i="2" s="1"/>
  <c r="R11" i="2"/>
  <c r="W11" i="2" s="1"/>
  <c r="R10" i="2"/>
  <c r="W10" i="2" s="1"/>
  <c r="R9" i="2"/>
  <c r="W9" i="2" s="1"/>
  <c r="R8" i="2"/>
  <c r="W8" i="2" s="1"/>
  <c r="R7" i="2"/>
  <c r="W7" i="2" s="1"/>
  <c r="R6" i="2"/>
  <c r="W6" i="2" s="1"/>
  <c r="R5" i="2"/>
  <c r="W5" i="2" s="1"/>
  <c r="I95" i="1" l="1"/>
  <c r="I94" i="1"/>
  <c r="F90" i="1"/>
  <c r="I90" i="1" s="1"/>
  <c r="F89" i="1"/>
  <c r="I89" i="1" s="1"/>
  <c r="F88" i="1"/>
  <c r="I88" i="1" s="1"/>
  <c r="I82" i="1" l="1"/>
  <c r="I76" i="1"/>
  <c r="I70" i="1"/>
  <c r="I67" i="1"/>
  <c r="I66" i="1"/>
  <c r="I65" i="1"/>
  <c r="I64" i="1"/>
  <c r="I63" i="1"/>
  <c r="I62" i="1"/>
  <c r="D18" i="1"/>
  <c r="F57" i="1"/>
  <c r="I57" i="1" s="1"/>
  <c r="F56" i="1"/>
  <c r="I56" i="1" s="1"/>
  <c r="F50" i="1"/>
  <c r="I50" i="1" s="1"/>
  <c r="F44" i="1"/>
  <c r="I44" i="1" s="1"/>
  <c r="F38" i="1"/>
  <c r="I38" i="1" s="1"/>
  <c r="F32" i="1"/>
  <c r="I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<sst xmlns="http://schemas.openxmlformats.org/spreadsheetml/2006/main" count="476" uniqueCount="167">
  <si>
    <t>Description</t>
  </si>
  <si>
    <t>IRP1043D10</t>
  </si>
  <si>
    <t>RCB1112BK15</t>
  </si>
  <si>
    <t>RSN1035-K1</t>
  </si>
  <si>
    <t>Codigo</t>
  </si>
  <si>
    <t>Cantidad</t>
  </si>
  <si>
    <t>1 Caja</t>
  </si>
  <si>
    <t>%Imp</t>
  </si>
  <si>
    <t>% desc</t>
  </si>
  <si>
    <t>Dimension (mts) 0.52 x 0.32 x 0.37</t>
  </si>
  <si>
    <t>Volumen (m3) 0.064</t>
  </si>
  <si>
    <t>Peso 16 kg</t>
  </si>
  <si>
    <t>Peso 12 kg</t>
  </si>
  <si>
    <t>4U adjustable depth rack din rail panel, 6 unidades</t>
  </si>
  <si>
    <t>M4 cage nut kit, 20 bolsas</t>
  </si>
  <si>
    <t>4U x 3.78In depth DIN rail energy box, 6 unidades</t>
  </si>
  <si>
    <t>4U x 3.78In depth DIN rail energy box, 4 unidades</t>
  </si>
  <si>
    <t>Precio (CLP)</t>
  </si>
  <si>
    <t>Fabricante Industrial Automation and Enclosures Inc.</t>
  </si>
  <si>
    <t>Valor (CLP)</t>
  </si>
  <si>
    <t>SEÑOR(ES):</t>
  </si>
  <si>
    <t>R.U.T.:</t>
  </si>
  <si>
    <t>GIRO:</t>
  </si>
  <si>
    <t>DIRECCIÓN:</t>
  </si>
  <si>
    <t>COMUNA:</t>
  </si>
  <si>
    <t>CIUDAD:</t>
  </si>
  <si>
    <t>CONTACTO:</t>
  </si>
  <si>
    <t>TIPO DE TRASLADO:</t>
  </si>
  <si>
    <t>PROYESCO CHILE SPA</t>
  </si>
  <si>
    <t>DESTINO:</t>
  </si>
  <si>
    <t>ORIGEN:</t>
  </si>
  <si>
    <t>76.988.493-9</t>
  </si>
  <si>
    <t>LOGISTOK SPA</t>
  </si>
  <si>
    <t>VOLCÁN LICANCABUR #425, BODEGA M3-1, PARQUE INDUSTRIAL LO BOZA</t>
  </si>
  <si>
    <t>PUDAHUE</t>
  </si>
  <si>
    <t>REGIÓN METROPOLITANA</t>
  </si>
  <si>
    <t>ANTONIO PACHECO</t>
  </si>
  <si>
    <t>OTROS TRASLADOS, NO VENTA</t>
  </si>
  <si>
    <t>AV. PRESIDENTE EDUARDO FREI MONTALVA #8551</t>
  </si>
  <si>
    <t>SERVICIO DE DEPÓSITO Y LOGISTICA</t>
  </si>
  <si>
    <t>JUAN PABLO OYARCE</t>
  </si>
  <si>
    <t>FABRICACION DE MOTORES, GENERADORES Y TRANSFORMADORES ELECTRICOS. INGENIERIA</t>
  </si>
  <si>
    <t>96.841.630-8</t>
  </si>
  <si>
    <t>KOLFF SPA</t>
  </si>
  <si>
    <t>TITULAR DE LA MERCADERIA</t>
  </si>
  <si>
    <t>77.656.064-2</t>
  </si>
  <si>
    <t>PRESTACIÓN SERVICIOS INGENIERIA E IMPORTACIÓN Y EXPORTACIÓN DE BIENES</t>
  </si>
  <si>
    <t>CRUZ DEL SUR 133 OF 401</t>
  </si>
  <si>
    <t>LAS CONDES</t>
  </si>
  <si>
    <t>YESSENIA.PINO</t>
  </si>
  <si>
    <t>87701052</t>
  </si>
  <si>
    <t>87701050</t>
  </si>
  <si>
    <t>87841030</t>
  </si>
  <si>
    <t>87701024</t>
  </si>
  <si>
    <t>87701046</t>
  </si>
  <si>
    <t>87702220</t>
  </si>
  <si>
    <t xml:space="preserve"> </t>
  </si>
  <si>
    <t>DH 32/6 Cable entry systems and holders Distance sleeves, 24 unidades</t>
  </si>
  <si>
    <t>ELB/6 Cable entry systems and holders Insert bushing, 48 unidades</t>
  </si>
  <si>
    <t>SMF/B 20 Cable entry systems and holders Type SMF, 10 unidades</t>
  </si>
  <si>
    <t>ZL 140 Strain relief Black, 10 unidades</t>
  </si>
  <si>
    <t>ZL 140-AB/EMV Cable entry systems and holders, 14 unidades</t>
  </si>
  <si>
    <t>ZL-AM strain relief For 16 mm C-rail slotInt, 14 unidades</t>
  </si>
  <si>
    <t>Fabricante Murrplastik</t>
  </si>
  <si>
    <t>Peso 19.2 kg</t>
  </si>
  <si>
    <t>Dimension (mts) 0.60 x 0.60 x 0.40</t>
  </si>
  <si>
    <t>Volumen (m3) 0.144</t>
  </si>
  <si>
    <t>--</t>
  </si>
  <si>
    <t>MATERIALES VARIOS SOBRANTE DE OBRA</t>
  </si>
  <si>
    <t>1 Pallet</t>
  </si>
  <si>
    <t>Volumen (m3) 0.600</t>
  </si>
  <si>
    <t>Peso 25 kg</t>
  </si>
  <si>
    <t>Fabricante Multiples fabricantes</t>
  </si>
  <si>
    <t>Fabricante Rittal</t>
  </si>
  <si>
    <t>Dimension (mts) 2.20 x 0.50 x 0.50</t>
  </si>
  <si>
    <t>Dimension (mts) 1.20 x 1.00 x 0.50</t>
  </si>
  <si>
    <t>Volumen (m3) 0.550</t>
  </si>
  <si>
    <t>Peso 35 kg</t>
  </si>
  <si>
    <t>1Z17F10R0448325455</t>
  </si>
  <si>
    <t>1Z17F10R0446012500</t>
  </si>
  <si>
    <t>1Z17E4V30410975274</t>
  </si>
  <si>
    <t>1Z17E4V30410969549</t>
  </si>
  <si>
    <t>Dimension (mts) 0.38 x 0.28 x 0.2</t>
  </si>
  <si>
    <t>Volumen (m3) 0.021</t>
  </si>
  <si>
    <t>Peso 4 kg</t>
  </si>
  <si>
    <t>1091670</t>
  </si>
  <si>
    <t>3212175</t>
  </si>
  <si>
    <t>3270205</t>
  </si>
  <si>
    <t>PTFIX 4/18X1,5 BU - Distribution block</t>
  </si>
  <si>
    <t>PT 6-FSI/C-LED 48 - fuse modular terminal block 48V/25A</t>
  </si>
  <si>
    <t>PTFIX 4/18X1,5 BU - Distribution block, 24 unidades</t>
  </si>
  <si>
    <t>PT 6-FSI/C-LED 48 - fuse modular terminal block 48V/25A, 100 unidades</t>
  </si>
  <si>
    <t>PTC 4-HESILED 60 (5X20) fuse 60V 6.3A, 50 unidades</t>
  </si>
  <si>
    <t>UT 16 - Feed-Through terminal</t>
  </si>
  <si>
    <t>Phoenix</t>
  </si>
  <si>
    <t>3044199</t>
  </si>
  <si>
    <t>Each</t>
  </si>
  <si>
    <t>D-UT 16 - End cover</t>
  </si>
  <si>
    <t>3047206</t>
  </si>
  <si>
    <t>E/NS 35 N - End bracket</t>
  </si>
  <si>
    <t>0800886</t>
  </si>
  <si>
    <t>UCT-TM 12 - Marker for terminal blocks</t>
  </si>
  <si>
    <t>0829144</t>
  </si>
  <si>
    <t>UT 6 - feed-through terminal block</t>
  </si>
  <si>
    <t>FBS 4-6 - plug-in bridge</t>
  </si>
  <si>
    <t>UCT-TMF 8 - Marker for terminal block</t>
  </si>
  <si>
    <t>0828748</t>
  </si>
  <si>
    <t>UC-TM 8 - Marker for terminal block</t>
  </si>
  <si>
    <t>0818072</t>
  </si>
  <si>
    <t>D-UT 2,5/10 - End cover</t>
  </si>
  <si>
    <t>3047028</t>
  </si>
  <si>
    <t>D-PTC 2,5-TWIN-MT - end cover</t>
  </si>
  <si>
    <t>3270100</t>
  </si>
  <si>
    <t>ATP-STTB 4 - Partition plate</t>
  </si>
  <si>
    <t>3030747</t>
  </si>
  <si>
    <t>FBS 2-12 - Plug-in bridge</t>
  </si>
  <si>
    <t>3005950</t>
  </si>
  <si>
    <t>FBS 6-8 - plug-in bridge</t>
  </si>
  <si>
    <t>3032470</t>
  </si>
  <si>
    <t>Fiber slack spool manager</t>
  </si>
  <si>
    <t>Panduit</t>
  </si>
  <si>
    <t>FMS1</t>
  </si>
  <si>
    <t>4-in, 48v axial fan 3.7m3/min | 132 cfm</t>
  </si>
  <si>
    <t>Ebm-Papst</t>
  </si>
  <si>
    <t>4418FNH</t>
  </si>
  <si>
    <t>4-in axial fan bracket</t>
  </si>
  <si>
    <t>Hoffman</t>
  </si>
  <si>
    <t>ABRKT4</t>
  </si>
  <si>
    <t>Corrugated Wire Loom LSZH Ø0.390"</t>
  </si>
  <si>
    <t>Altech</t>
  </si>
  <si>
    <t>1200100</t>
  </si>
  <si>
    <t>50m roll</t>
  </si>
  <si>
    <t>Brand</t>
  </si>
  <si>
    <t>Sku</t>
  </si>
  <si>
    <t>Um</t>
  </si>
  <si>
    <t>Qty</t>
  </si>
  <si>
    <t>Track</t>
  </si>
  <si>
    <t>Yes</t>
  </si>
  <si>
    <t>USD Unit</t>
  </si>
  <si>
    <t>Peso 7.4 kg</t>
  </si>
  <si>
    <t>USD Ext</t>
  </si>
  <si>
    <t>UT 16 - Feed-Through terminal, 100 unidades</t>
  </si>
  <si>
    <t>D-UT 16 - End cover, 50 unidades</t>
  </si>
  <si>
    <t>E/NS 35 N - End bracket, 100 unidades</t>
  </si>
  <si>
    <t>UCT-TM 12 - Marker for terminal blocks, 10 unidades</t>
  </si>
  <si>
    <t>UT 6 - feed-through terminal block, 100 unidades</t>
  </si>
  <si>
    <t>FBS 4-6 - plug-in bridge, 50 unidades</t>
  </si>
  <si>
    <t>UCT-TMF 8 - Marker for terminal block, 10 unidades</t>
  </si>
  <si>
    <t>UC-TM 8 - Marker for terminal block, 10 unidades</t>
  </si>
  <si>
    <t>D-UT 2,5/10 - End cover, 50 unidades</t>
  </si>
  <si>
    <t>D-PTC 2,5-TWIN-MT - end cover, 50 unidades</t>
  </si>
  <si>
    <t>Fabricante Phoenix Contact (1Z17F10R0448325455)</t>
  </si>
  <si>
    <t>ATP-STTB 4 - Partition plate, 100 unidades</t>
  </si>
  <si>
    <t>FBS 2-12 - Plug-in bridge, 20 unidades</t>
  </si>
  <si>
    <t>FBS 6-8 - plug-in bridge, 30 unidades</t>
  </si>
  <si>
    <t>Fabricante Phoenix Contact (1Z17F10R0446012500)</t>
  </si>
  <si>
    <t>Fiber slack spool manager, 2 unidades</t>
  </si>
  <si>
    <t>Fabricante Panduit (1Z17E4V30410975274)</t>
  </si>
  <si>
    <t>4-in, 48v axial fan 3.7m3/min | 132 cfm, 10 unidades</t>
  </si>
  <si>
    <t>4-in axial fan bracket, 4 unidades</t>
  </si>
  <si>
    <t>PTFIX 4/18X1,5 BU - Distribution block, 20 unidades</t>
  </si>
  <si>
    <t>Corrugated Wire Loom LSZH Ø0.390", 3 unidades</t>
  </si>
  <si>
    <t>Peso 1.7 kg</t>
  </si>
  <si>
    <t>Peso 0.27 kg</t>
  </si>
  <si>
    <t>Fabricante Hoffman, Ebm-Papst, Altech (1Z17E4V30410969549)</t>
  </si>
  <si>
    <t>Peso 4.3 kg</t>
  </si>
  <si>
    <t>Fabricante Phoenix Contact (#776051691944)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</si>
</sst>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121212"/>
      <name val="Tahoma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97"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3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3" fontId="0" fillId="0" borderId="3" xfId="0" applyNumberFormat="1" applyBorder="1" applyAlignment="1">
      <alignment horizontal="right" vertical="center"/>
    </xf>
    <xf numFmtId="0" fontId="0" fillId="0" borderId="2" xfId="0" quotePrefix="1" applyBorder="1" applyAlignment="1">
      <alignment vertical="center"/>
    </xf>
    <xf numFmtId="0" fontId="4" fillId="0" borderId="0" xfId="0" applyFont="1"/>
    <xf numFmtId="0" fontId="5" fillId="2" borderId="1" xfId="2" applyFill="1" applyBorder="1" applyAlignment="1">
      <alignment vertical="center"/>
    </xf>
    <xf numFmtId="0" fontId="5" fillId="2" borderId="1" xfId="2" applyFill="1" applyBorder="1" applyAlignment="1">
      <alignment horizontal="left" vertical="center"/>
    </xf>
    <xf numFmtId="0" fontId="5" fillId="2" borderId="1" xfId="2" applyFill="1" applyBorder="1" applyAlignment="1">
      <alignment horizontal="center" vertical="center"/>
    </xf>
    <xf numFmtId="0" fontId="5" fillId="0" borderId="0" xfId="2"/>
    <xf numFmtId="0" fontId="5" fillId="0" borderId="0" xfId="2" applyAlignment="1">
      <alignment vertical="center"/>
    </xf>
    <xf numFmtId="0" fontId="5" fillId="2" borderId="1" xfId="2" quotePrefix="1" applyFill="1" applyBorder="1" applyAlignment="1">
      <alignment horizontal="left" vertical="center"/>
    </xf>
    <xf numFmtId="0" fontId="5" fillId="0" borderId="0" xfId="2" applyAlignment="1">
      <alignment horizontal="center"/>
    </xf>
    <xf numFmtId="0" fontId="5" fillId="0" borderId="0" xfId="2" quotePrefix="1"/>
    <xf numFmtId="0" fontId="5" fillId="2" borderId="1" xfId="2" applyFill="1" applyBorder="1" applyAlignment="1">
      <alignment horizontal="right" vertical="center"/>
    </xf>
    <xf numFmtId="0" fontId="5" fillId="2" borderId="0" xfId="2" applyFill="1" applyAlignment="1">
      <alignment horizontal="left" vertical="center"/>
    </xf>
    <xf numFmtId="0" fontId="5" fillId="3" borderId="0" xfId="2" applyFill="1" applyAlignment="1">
      <alignment vertical="center"/>
    </xf>
    <xf numFmtId="0" fontId="0" fillId="3" borderId="2" xfId="0" applyFill="1" applyBorder="1" applyAlignment="1">
      <alignment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3" xfId="0" applyFill="1" applyBorder="1" applyAlignment="1">
      <alignment vertical="center"/>
    </xf>
    <xf numFmtId="3" fontId="0" fillId="3" borderId="3" xfId="0" applyNumberForma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3" fontId="0" fillId="3" borderId="4" xfId="0" applyNumberForma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3" fontId="0" fillId="4" borderId="2" xfId="0" applyNumberFormat="1" applyFill="1" applyBorder="1" applyAlignment="1">
      <alignment horizontal="right" vertical="center"/>
    </xf>
    <xf numFmtId="0" fontId="0" fillId="4" borderId="3" xfId="0" applyFill="1" applyBorder="1" applyAlignment="1">
      <alignment vertical="center"/>
    </xf>
    <xf numFmtId="3" fontId="0" fillId="4" borderId="3" xfId="0" applyNumberForma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3" fontId="0" fillId="4" borderId="4" xfId="0" applyNumberFormat="1" applyFill="1" applyBorder="1" applyAlignment="1">
      <alignment vertical="center"/>
    </xf>
    <xf numFmtId="3" fontId="0" fillId="4" borderId="3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vertical="center"/>
    </xf>
    <xf numFmtId="3" fontId="0" fillId="5" borderId="2" xfId="0" applyNumberFormat="1" applyFill="1" applyBorder="1" applyAlignment="1">
      <alignment horizontal="right" vertical="center"/>
    </xf>
    <xf numFmtId="0" fontId="0" fillId="5" borderId="3" xfId="0" applyFill="1" applyBorder="1" applyAlignment="1">
      <alignment vertical="center"/>
    </xf>
    <xf numFmtId="3" fontId="0" fillId="5" borderId="3" xfId="0" applyNumberFormat="1" applyFill="1" applyBorder="1" applyAlignment="1">
      <alignment horizontal="right" vertical="center"/>
    </xf>
    <xf numFmtId="3" fontId="0" fillId="5" borderId="3" xfId="0" applyNumberForma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3" fontId="0" fillId="5" borderId="4" xfId="0" applyNumberFormat="1" applyFill="1" applyBorder="1" applyAlignment="1">
      <alignment vertical="center"/>
    </xf>
    <xf numFmtId="0" fontId="0" fillId="6" borderId="2" xfId="0" quotePrefix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3" fontId="0" fillId="6" borderId="2" xfId="0" applyNumberFormat="1" applyFill="1" applyBorder="1" applyAlignment="1">
      <alignment horizontal="right" vertical="center"/>
    </xf>
    <xf numFmtId="0" fontId="0" fillId="6" borderId="3" xfId="0" applyFill="1" applyBorder="1" applyAlignment="1">
      <alignment vertical="center"/>
    </xf>
    <xf numFmtId="3" fontId="0" fillId="6" borderId="3" xfId="0" applyNumberFormat="1" applyFill="1" applyBorder="1" applyAlignment="1">
      <alignment horizontal="right" vertical="center"/>
    </xf>
    <xf numFmtId="3" fontId="0" fillId="6" borderId="3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3" fontId="0" fillId="6" borderId="4" xfId="0" applyNumberFormat="1" applyFill="1" applyBorder="1" applyAlignment="1">
      <alignment vertical="center"/>
    </xf>
    <xf numFmtId="0" fontId="0" fillId="4" borderId="2" xfId="0" quotePrefix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0" fillId="3" borderId="0" xfId="0" applyNumberFormat="1" applyFill="1" applyBorder="1" applyAlignment="1">
      <alignment horizontal="right" vertical="center"/>
    </xf>
    <xf numFmtId="3" fontId="0" fillId="3" borderId="0" xfId="0" applyNumberFormat="1" applyFill="1" applyBorder="1" applyAlignment="1">
      <alignment vertical="center"/>
    </xf>
    <xf numFmtId="3" fontId="0" fillId="4" borderId="0" xfId="0" applyNumberFormat="1" applyFill="1" applyBorder="1" applyAlignment="1">
      <alignment horizontal="right" vertical="center"/>
    </xf>
    <xf numFmtId="3" fontId="0" fillId="4" borderId="0" xfId="0" applyNumberFormat="1" applyFill="1" applyBorder="1" applyAlignment="1">
      <alignment vertical="center"/>
    </xf>
    <xf numFmtId="3" fontId="0" fillId="5" borderId="0" xfId="0" applyNumberFormat="1" applyFill="1" applyBorder="1" applyAlignment="1">
      <alignment horizontal="right" vertical="center"/>
    </xf>
    <xf numFmtId="3" fontId="0" fillId="5" borderId="0" xfId="0" applyNumberFormat="1" applyFill="1" applyBorder="1" applyAlignment="1">
      <alignment vertical="center"/>
    </xf>
    <xf numFmtId="3" fontId="0" fillId="6" borderId="0" xfId="0" applyNumberFormat="1" applyFill="1" applyBorder="1" applyAlignment="1">
      <alignment horizontal="right" vertical="center"/>
    </xf>
    <xf numFmtId="3" fontId="0" fillId="6" borderId="0" xfId="0" applyNumberFormat="1" applyFill="1" applyBorder="1" applyAlignment="1">
      <alignment vertical="center"/>
    </xf>
    <xf numFmtId="3" fontId="0" fillId="0" borderId="0" xfId="0" applyNumberFormat="1" applyBorder="1" applyAlignment="1">
      <alignment horizontal="right" vertical="center"/>
    </xf>
    <xf numFmtId="3" fontId="0" fillId="0" borderId="0" xfId="0" applyNumberFormat="1" applyBorder="1" applyAlignment="1">
      <alignment vertical="center"/>
    </xf>
    <xf numFmtId="3" fontId="0" fillId="7" borderId="2" xfId="0" applyNumberFormat="1" applyFill="1" applyBorder="1" applyAlignment="1">
      <alignment horizontal="right" vertical="center"/>
    </xf>
    <xf numFmtId="3" fontId="0" fillId="7" borderId="3" xfId="0" applyNumberFormat="1" applyFill="1" applyBorder="1" applyAlignment="1">
      <alignment horizontal="right" vertical="center"/>
    </xf>
    <xf numFmtId="3" fontId="0" fillId="7" borderId="3" xfId="0" applyNumberFormat="1" applyFill="1" applyBorder="1" applyAlignment="1">
      <alignment vertical="center"/>
    </xf>
    <xf numFmtId="0" fontId="0" fillId="7" borderId="2" xfId="0" quotePrefix="1" applyFill="1" applyBorder="1" applyAlignment="1">
      <alignment horizontal="left"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vertic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vertical="center"/>
    </xf>
    <xf numFmtId="3" fontId="0" fillId="8" borderId="3" xfId="0" applyNumberFormat="1" applyFill="1" applyBorder="1" applyAlignment="1">
      <alignment vertical="center"/>
    </xf>
    <xf numFmtId="0" fontId="0" fillId="8" borderId="3" xfId="0" quotePrefix="1" applyFill="1" applyBorder="1" applyAlignment="1">
      <alignment horizontal="left" vertical="center"/>
    </xf>
    <xf numFmtId="3" fontId="0" fillId="8" borderId="3" xfId="0" applyNumberFormat="1" applyFill="1" applyBorder="1" applyAlignment="1">
      <alignment horizontal="right" vertical="center"/>
    </xf>
    <xf numFmtId="0" fontId="0" fillId="8" borderId="4" xfId="0" applyFill="1" applyBorder="1" applyAlignment="1">
      <alignment vertical="center"/>
    </xf>
    <xf numFmtId="3" fontId="0" fillId="8" borderId="4" xfId="0" applyNumberFormat="1" applyFill="1" applyBorder="1" applyAlignment="1">
      <alignment vertical="center"/>
    </xf>
    <xf numFmtId="0" fontId="0" fillId="9" borderId="2" xfId="0" quotePrefix="1" applyFill="1" applyBorder="1" applyAlignment="1">
      <alignment horizontal="left" vertical="center"/>
    </xf>
    <xf numFmtId="0" fontId="0" fillId="9" borderId="2" xfId="0" applyFill="1" applyBorder="1" applyAlignment="1">
      <alignment vertical="center"/>
    </xf>
    <xf numFmtId="3" fontId="0" fillId="9" borderId="2" xfId="0" applyNumberFormat="1" applyFill="1" applyBorder="1" applyAlignment="1">
      <alignment horizontal="right" vertical="center"/>
    </xf>
    <xf numFmtId="0" fontId="0" fillId="9" borderId="3" xfId="0" applyFill="1" applyBorder="1" applyAlignment="1">
      <alignment horizontal="left" vertical="center"/>
    </xf>
    <xf numFmtId="0" fontId="0" fillId="9" borderId="3" xfId="0" applyFill="1" applyBorder="1" applyAlignment="1">
      <alignment vertical="center"/>
    </xf>
    <xf numFmtId="3" fontId="0" fillId="9" borderId="3" xfId="0" applyNumberFormat="1" applyFill="1" applyBorder="1" applyAlignment="1">
      <alignment horizontal="right" vertical="center"/>
    </xf>
    <xf numFmtId="3" fontId="0" fillId="9" borderId="3" xfId="0" applyNumberFormat="1" applyFill="1" applyBorder="1" applyAlignment="1">
      <alignment vertical="center"/>
    </xf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vertical="center"/>
    </xf>
    <xf numFmtId="3" fontId="0" fillId="9" borderId="4" xfId="0" applyNumberFormat="1" applyFill="1" applyBorder="1" applyAlignment="1">
      <alignment vertical="center"/>
    </xf>
    <xf numFmtId="0" fontId="0" fillId="10" borderId="2" xfId="0" quotePrefix="1" applyFill="1" applyBorder="1" applyAlignment="1">
      <alignment horizontal="left" vertical="center"/>
    </xf>
    <xf numFmtId="0" fontId="0" fillId="10" borderId="2" xfId="0" applyFill="1" applyBorder="1" applyAlignment="1">
      <alignment vertical="center"/>
    </xf>
    <xf numFmtId="3" fontId="0" fillId="10" borderId="2" xfId="0" applyNumberFormat="1" applyFill="1" applyBorder="1" applyAlignment="1">
      <alignment horizontal="right" vertical="center"/>
    </xf>
    <xf numFmtId="0" fontId="0" fillId="10" borderId="3" xfId="0" applyFill="1" applyBorder="1" applyAlignment="1">
      <alignment horizontal="left" vertical="center"/>
    </xf>
    <xf numFmtId="0" fontId="0" fillId="10" borderId="3" xfId="0" applyFill="1" applyBorder="1" applyAlignment="1">
      <alignment vertical="center"/>
    </xf>
    <xf numFmtId="3" fontId="0" fillId="10" borderId="3" xfId="0" applyNumberFormat="1" applyFill="1" applyBorder="1" applyAlignment="1">
      <alignment horizontal="right" vertical="center"/>
    </xf>
    <xf numFmtId="3" fontId="0" fillId="10" borderId="3" xfId="0" applyNumberFormat="1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3" fontId="0" fillId="10" borderId="4" xfId="0" applyNumberFormat="1" applyFill="1" applyBorder="1" applyAlignment="1">
      <alignment vertical="center"/>
    </xf>
  </cellXfs>
  <cellStyles count="3">
    <cellStyle name="Normal" xfId="0" builtinId="0"/>
    <cellStyle name="Normal 2" xfId="1" xr:uid="{5CB9EBFD-AF57-428A-AE5B-F6796D86B2C0}"/>
    <cellStyle name="Normal 3" xfId="2" xr:uid="{BE5341A5-729A-4F06-BBEF-3A0B1B7CA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fs\Eng\21.%20CO-1012%20Datos\02.%20Oferta%20Proyesco\CO-101x-20%20PEP%20Plan%20de%20ejecucion%20de%20proyecto.xlsx" TargetMode="External"/><Relationship Id="rId1" Type="http://schemas.openxmlformats.org/officeDocument/2006/relationships/externalLinkPath" Target="file:///C:\lfs\Eng\21.%20CO-1012%20Datos\02.%20Oferta%20Proyesco\CO-101x-20%20PEP%20Plan%20de%20ejecucion%20de%20proy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p"/>
      <sheetName val="Erogacion"/>
      <sheetName val="7300LF"/>
      <sheetName val="6300LF"/>
      <sheetName val="per Phase"/>
      <sheetName val="POs"/>
      <sheetName val="precios Rittal"/>
      <sheetName val="rfq Rittal"/>
      <sheetName val="rfq Wesco"/>
      <sheetName val="Sheet1"/>
      <sheetName val="rfq Tablerista"/>
      <sheetName val="Compras"/>
      <sheetName val="Consumibles Kolff"/>
      <sheetName val="Lib"/>
      <sheetName val="Adicional Cisco"/>
    </sheetNames>
    <sheetDataSet>
      <sheetData sheetId="0"/>
      <sheetData sheetId="1">
        <row r="88">
          <cell r="L88">
            <v>2</v>
          </cell>
          <cell r="M88">
            <v>2</v>
          </cell>
        </row>
        <row r="137">
          <cell r="P137">
            <v>2</v>
          </cell>
          <cell r="Q137">
            <v>2</v>
          </cell>
        </row>
        <row r="171">
          <cell r="L171">
            <v>1</v>
          </cell>
          <cell r="M171">
            <v>1</v>
          </cell>
        </row>
        <row r="172">
          <cell r="L172">
            <v>2</v>
          </cell>
          <cell r="M172">
            <v>2</v>
          </cell>
        </row>
        <row r="173">
          <cell r="L173">
            <v>0</v>
          </cell>
          <cell r="M173">
            <v>2</v>
          </cell>
        </row>
        <row r="174">
          <cell r="L174">
            <v>2</v>
          </cell>
          <cell r="M174">
            <v>0</v>
          </cell>
        </row>
        <row r="178">
          <cell r="L178">
            <v>1</v>
          </cell>
          <cell r="M178">
            <v>1</v>
          </cell>
        </row>
        <row r="179">
          <cell r="L179">
            <v>1</v>
          </cell>
          <cell r="M179">
            <v>1</v>
          </cell>
        </row>
        <row r="180">
          <cell r="L180">
            <v>1</v>
          </cell>
          <cell r="M180">
            <v>1</v>
          </cell>
        </row>
        <row r="181">
          <cell r="L181">
            <v>2</v>
          </cell>
          <cell r="M181">
            <v>2</v>
          </cell>
        </row>
        <row r="182">
          <cell r="L182">
            <v>14</v>
          </cell>
          <cell r="M182">
            <v>14</v>
          </cell>
        </row>
        <row r="201">
          <cell r="L201">
            <v>1</v>
          </cell>
          <cell r="M201">
            <v>1</v>
          </cell>
        </row>
        <row r="202">
          <cell r="L202">
            <v>2</v>
          </cell>
          <cell r="M202">
            <v>2</v>
          </cell>
        </row>
        <row r="203">
          <cell r="L203">
            <v>0</v>
          </cell>
          <cell r="M203">
            <v>2</v>
          </cell>
        </row>
        <row r="204">
          <cell r="L204">
            <v>2</v>
          </cell>
          <cell r="M204">
            <v>0</v>
          </cell>
        </row>
        <row r="208">
          <cell r="L208">
            <v>1</v>
          </cell>
          <cell r="M208">
            <v>1</v>
          </cell>
        </row>
        <row r="209">
          <cell r="L209">
            <v>1</v>
          </cell>
          <cell r="M209">
            <v>1</v>
          </cell>
        </row>
        <row r="210">
          <cell r="L210">
            <v>1</v>
          </cell>
          <cell r="M210">
            <v>1</v>
          </cell>
        </row>
        <row r="211">
          <cell r="L211">
            <v>2</v>
          </cell>
          <cell r="M211">
            <v>2</v>
          </cell>
        </row>
        <row r="212">
          <cell r="L212">
            <v>14</v>
          </cell>
          <cell r="M212">
            <v>14</v>
          </cell>
        </row>
        <row r="255">
          <cell r="O255">
            <v>2</v>
          </cell>
        </row>
        <row r="256">
          <cell r="O256">
            <v>2</v>
          </cell>
        </row>
        <row r="264">
          <cell r="P264">
            <v>4</v>
          </cell>
          <cell r="Q26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3CD9-F44C-4518-8363-1F1B0BEDBCCF}">
  <sheetPr filterMode="1"/>
  <dimension ref="D4:W45"/>
  <sheetViews>
    <sheetView workbookViewId="0">
      <selection activeCell="L5" sqref="L5"/>
    </sheetView>
    <sheetView workbookViewId="1">
      <selection activeCell="I124" sqref="I124"/>
    </sheetView>
  </sheetViews>
  <sheetFormatPr baseColWidth="10" defaultColWidth="9.140625" defaultRowHeight="12" x14ac:dyDescent="0.2"/>
  <cols>
    <col min="1" max="3" width="9.140625" style="16"/>
    <col min="4" max="4" width="9.140625" style="19"/>
    <col min="5" max="5" width="32.140625" style="16" bestFit="1" customWidth="1"/>
    <col min="6" max="10" width="9.140625" style="16"/>
    <col min="11" max="11" width="11.7109375" style="16" customWidth="1"/>
    <col min="12" max="12" width="19.5703125" style="16" bestFit="1" customWidth="1"/>
    <col min="13" max="16384" width="9.140625" style="16"/>
  </cols>
  <sheetData>
    <row r="4" spans="4:23" x14ac:dyDescent="0.2">
      <c r="D4" s="19" t="s">
        <v>137</v>
      </c>
      <c r="E4" s="16" t="s">
        <v>0</v>
      </c>
      <c r="F4" s="16" t="s">
        <v>132</v>
      </c>
      <c r="G4" s="16" t="s">
        <v>133</v>
      </c>
      <c r="H4" s="16" t="s">
        <v>134</v>
      </c>
      <c r="I4" s="16" t="s">
        <v>135</v>
      </c>
      <c r="J4" s="16" t="s">
        <v>138</v>
      </c>
      <c r="K4" s="16" t="s">
        <v>140</v>
      </c>
      <c r="L4" s="16" t="s">
        <v>136</v>
      </c>
      <c r="N4" s="19" t="s">
        <v>137</v>
      </c>
      <c r="O4" s="16" t="s">
        <v>0</v>
      </c>
      <c r="P4" s="16" t="s">
        <v>132</v>
      </c>
      <c r="Q4" s="16" t="s">
        <v>133</v>
      </c>
      <c r="R4" s="16" t="s">
        <v>5</v>
      </c>
      <c r="S4" s="16" t="s">
        <v>140</v>
      </c>
      <c r="T4" s="16" t="s">
        <v>136</v>
      </c>
    </row>
    <row r="5" spans="4:23" hidden="1" x14ac:dyDescent="0.2">
      <c r="D5" s="19">
        <v>1</v>
      </c>
      <c r="E5" s="13" t="s">
        <v>93</v>
      </c>
      <c r="F5" s="13" t="s">
        <v>94</v>
      </c>
      <c r="G5" s="14" t="s">
        <v>95</v>
      </c>
      <c r="H5" s="15" t="s">
        <v>96</v>
      </c>
      <c r="I5" s="15">
        <v>55</v>
      </c>
      <c r="J5" s="21">
        <v>2.46</v>
      </c>
      <c r="K5" s="21">
        <v>135.30000000000001</v>
      </c>
      <c r="L5" s="17" t="s">
        <v>78</v>
      </c>
      <c r="N5" s="19">
        <v>1</v>
      </c>
      <c r="O5" s="13" t="s">
        <v>93</v>
      </c>
      <c r="P5" s="13" t="s">
        <v>94</v>
      </c>
      <c r="Q5" s="14" t="s">
        <v>95</v>
      </c>
      <c r="R5" s="22">
        <f>+SUMIFS($I$5:$I$44,$G$5:$G$44,Q5,$L$5:$L$44,T5)</f>
        <v>100</v>
      </c>
      <c r="S5" s="22" cm="1">
        <f t="array" ref="S5">+SUMPRODUCT(--($G$5:$G$44=Q5),--($L$5:$L$44=T5),$I$5:$I$44,$J$5:$J$44)*1000</f>
        <v>246000</v>
      </c>
      <c r="T5" s="23" t="s">
        <v>78</v>
      </c>
      <c r="W5" s="16" t="str">
        <f>+O5&amp;", "&amp;R5&amp;" unidades"</f>
        <v>UT 16 - Feed-Through terminal, 100 unidades</v>
      </c>
    </row>
    <row r="6" spans="4:23" hidden="1" x14ac:dyDescent="0.2">
      <c r="D6" s="19">
        <v>1</v>
      </c>
      <c r="E6" s="13" t="s">
        <v>97</v>
      </c>
      <c r="F6" s="13" t="s">
        <v>94</v>
      </c>
      <c r="G6" s="14" t="s">
        <v>98</v>
      </c>
      <c r="H6" s="15" t="s">
        <v>96</v>
      </c>
      <c r="I6" s="15">
        <v>27</v>
      </c>
      <c r="J6" s="21">
        <v>0.93700000000000006</v>
      </c>
      <c r="K6" s="21">
        <v>25.299000000000003</v>
      </c>
      <c r="L6" s="17" t="s">
        <v>78</v>
      </c>
      <c r="N6" s="19">
        <v>1</v>
      </c>
      <c r="O6" s="13" t="s">
        <v>97</v>
      </c>
      <c r="P6" s="13" t="s">
        <v>94</v>
      </c>
      <c r="Q6" s="14" t="s">
        <v>98</v>
      </c>
      <c r="R6" s="22">
        <f t="shared" ref="R6:R23" si="0">+SUMIFS($I$5:$I$44,$G$5:$G$44,Q6,$L$5:$L$44,T6)</f>
        <v>50</v>
      </c>
      <c r="S6" s="22" cm="1">
        <f t="array" ref="S6">+SUMPRODUCT(--($G$5:$G$44=Q6),--($L$5:$L$44=T6),$I$5:$I$44,$J$5:$J$44)*1000</f>
        <v>46850</v>
      </c>
      <c r="T6" s="23" t="s">
        <v>78</v>
      </c>
      <c r="W6" s="16" t="str">
        <f t="shared" ref="W6:W23" si="1">+O6&amp;", "&amp;R6&amp;" unidades"</f>
        <v>D-UT 16 - End cover, 50 unidades</v>
      </c>
    </row>
    <row r="7" spans="4:23" hidden="1" x14ac:dyDescent="0.2">
      <c r="D7" s="19">
        <v>1</v>
      </c>
      <c r="E7" s="13" t="s">
        <v>99</v>
      </c>
      <c r="F7" s="13" t="s">
        <v>94</v>
      </c>
      <c r="G7" s="14" t="s">
        <v>100</v>
      </c>
      <c r="H7" s="15" t="s">
        <v>96</v>
      </c>
      <c r="I7" s="15">
        <v>68</v>
      </c>
      <c r="J7" s="21">
        <v>1.69</v>
      </c>
      <c r="K7" s="21">
        <v>114.92</v>
      </c>
      <c r="L7" s="17" t="s">
        <v>78</v>
      </c>
      <c r="N7" s="19">
        <v>1</v>
      </c>
      <c r="O7" s="13" t="s">
        <v>99</v>
      </c>
      <c r="P7" s="13" t="s">
        <v>94</v>
      </c>
      <c r="Q7" s="14" t="s">
        <v>100</v>
      </c>
      <c r="R7" s="22">
        <f t="shared" si="0"/>
        <v>100</v>
      </c>
      <c r="S7" s="22" cm="1">
        <f t="array" ref="S7">+SUMPRODUCT(--($G$5:$G$44=Q7),--($L$5:$L$44=T7),$I$5:$I$44,$J$5:$J$44)*1000</f>
        <v>169000</v>
      </c>
      <c r="T7" s="23" t="s">
        <v>78</v>
      </c>
      <c r="W7" s="16" t="str">
        <f t="shared" si="1"/>
        <v>E/NS 35 N - End bracket, 100 unidades</v>
      </c>
    </row>
    <row r="8" spans="4:23" hidden="1" x14ac:dyDescent="0.2">
      <c r="D8" s="19">
        <v>1</v>
      </c>
      <c r="E8" s="13" t="s">
        <v>101</v>
      </c>
      <c r="F8" s="13" t="s">
        <v>94</v>
      </c>
      <c r="G8" s="14" t="s">
        <v>102</v>
      </c>
      <c r="H8" s="15" t="s">
        <v>96</v>
      </c>
      <c r="I8" s="15">
        <v>10</v>
      </c>
      <c r="J8" s="21">
        <v>6.35</v>
      </c>
      <c r="K8" s="21">
        <v>63.5</v>
      </c>
      <c r="L8" s="17" t="s">
        <v>78</v>
      </c>
      <c r="N8" s="19">
        <v>1</v>
      </c>
      <c r="O8" s="13" t="s">
        <v>101</v>
      </c>
      <c r="P8" s="13" t="s">
        <v>94</v>
      </c>
      <c r="Q8" s="14" t="s">
        <v>102</v>
      </c>
      <c r="R8" s="22">
        <f t="shared" si="0"/>
        <v>10</v>
      </c>
      <c r="S8" s="22" cm="1">
        <f t="array" ref="S8">+SUMPRODUCT(--($G$5:$G$44=Q8),--($L$5:$L$44=T8),$I$5:$I$44,$J$5:$J$44)*1000</f>
        <v>63500</v>
      </c>
      <c r="T8" s="23" t="s">
        <v>78</v>
      </c>
      <c r="W8" s="16" t="str">
        <f t="shared" si="1"/>
        <v>UCT-TM 12 - Marker for terminal blocks, 10 unidades</v>
      </c>
    </row>
    <row r="9" spans="4:23" hidden="1" x14ac:dyDescent="0.2">
      <c r="D9" s="19">
        <v>1</v>
      </c>
      <c r="E9" s="13" t="s">
        <v>103</v>
      </c>
      <c r="F9" s="13" t="s">
        <v>94</v>
      </c>
      <c r="G9" s="14">
        <v>3044131</v>
      </c>
      <c r="H9" s="15" t="s">
        <v>96</v>
      </c>
      <c r="I9" s="15">
        <v>68</v>
      </c>
      <c r="J9" s="21">
        <v>1.24</v>
      </c>
      <c r="K9" s="21">
        <v>84.32</v>
      </c>
      <c r="L9" s="17" t="s">
        <v>78</v>
      </c>
      <c r="N9" s="19">
        <v>1</v>
      </c>
      <c r="O9" s="13" t="s">
        <v>103</v>
      </c>
      <c r="P9" s="13" t="s">
        <v>94</v>
      </c>
      <c r="Q9" s="14">
        <v>3044131</v>
      </c>
      <c r="R9" s="22">
        <f t="shared" si="0"/>
        <v>100</v>
      </c>
      <c r="S9" s="22" cm="1">
        <f t="array" ref="S9">+SUMPRODUCT(--($G$5:$G$44=Q9),--($L$5:$L$44=T9),$I$5:$I$44,$J$5:$J$44)*1000</f>
        <v>123999.99999999999</v>
      </c>
      <c r="T9" s="23" t="s">
        <v>78</v>
      </c>
      <c r="W9" s="16" t="str">
        <f t="shared" si="1"/>
        <v>UT 6 - feed-through terminal block, 100 unidades</v>
      </c>
    </row>
    <row r="10" spans="4:23" hidden="1" x14ac:dyDescent="0.2">
      <c r="D10" s="19">
        <v>1</v>
      </c>
      <c r="E10" s="13" t="s">
        <v>104</v>
      </c>
      <c r="F10" s="13" t="s">
        <v>94</v>
      </c>
      <c r="G10" s="14">
        <v>3030255</v>
      </c>
      <c r="H10" s="15" t="s">
        <v>96</v>
      </c>
      <c r="I10" s="15">
        <v>42</v>
      </c>
      <c r="J10" s="21">
        <v>1.75</v>
      </c>
      <c r="K10" s="21">
        <v>73.5</v>
      </c>
      <c r="L10" s="17" t="s">
        <v>78</v>
      </c>
      <c r="N10" s="19">
        <v>1</v>
      </c>
      <c r="O10" s="13" t="s">
        <v>104</v>
      </c>
      <c r="P10" s="13" t="s">
        <v>94</v>
      </c>
      <c r="Q10" s="14">
        <v>3030255</v>
      </c>
      <c r="R10" s="22">
        <f t="shared" si="0"/>
        <v>50</v>
      </c>
      <c r="S10" s="22" cm="1">
        <f t="array" ref="S10">+SUMPRODUCT(--($G$5:$G$44=Q10),--($L$5:$L$44=T10),$I$5:$I$44,$J$5:$J$44)*1000</f>
        <v>87500</v>
      </c>
      <c r="T10" s="23" t="s">
        <v>78</v>
      </c>
      <c r="W10" s="16" t="str">
        <f t="shared" si="1"/>
        <v>FBS 4-6 - plug-in bridge, 50 unidades</v>
      </c>
    </row>
    <row r="11" spans="4:23" hidden="1" x14ac:dyDescent="0.2">
      <c r="D11" s="19">
        <v>1</v>
      </c>
      <c r="E11" s="13" t="s">
        <v>105</v>
      </c>
      <c r="F11" s="13" t="s">
        <v>94</v>
      </c>
      <c r="G11" s="14" t="s">
        <v>106</v>
      </c>
      <c r="H11" s="15" t="s">
        <v>96</v>
      </c>
      <c r="I11" s="15">
        <v>10</v>
      </c>
      <c r="J11" s="21">
        <v>5.84</v>
      </c>
      <c r="K11" s="21">
        <v>58.4</v>
      </c>
      <c r="L11" s="17" t="s">
        <v>78</v>
      </c>
      <c r="N11" s="19">
        <v>1</v>
      </c>
      <c r="O11" s="13" t="s">
        <v>105</v>
      </c>
      <c r="P11" s="13" t="s">
        <v>94</v>
      </c>
      <c r="Q11" s="14" t="s">
        <v>106</v>
      </c>
      <c r="R11" s="22">
        <f t="shared" si="0"/>
        <v>10</v>
      </c>
      <c r="S11" s="22" cm="1">
        <f t="array" ref="S11">+SUMPRODUCT(--($G$5:$G$44=Q11),--($L$5:$L$44=T11),$I$5:$I$44,$J$5:$J$44)*1000</f>
        <v>58400</v>
      </c>
      <c r="T11" s="23" t="s">
        <v>78</v>
      </c>
      <c r="W11" s="16" t="str">
        <f t="shared" si="1"/>
        <v>UCT-TMF 8 - Marker for terminal block, 10 unidades</v>
      </c>
    </row>
    <row r="12" spans="4:23" hidden="1" x14ac:dyDescent="0.2">
      <c r="D12" s="19">
        <v>1</v>
      </c>
      <c r="E12" s="13" t="s">
        <v>107</v>
      </c>
      <c r="F12" s="13" t="s">
        <v>94</v>
      </c>
      <c r="G12" s="14" t="s">
        <v>108</v>
      </c>
      <c r="H12" s="15" t="s">
        <v>96</v>
      </c>
      <c r="I12" s="15">
        <v>10</v>
      </c>
      <c r="J12" s="21">
        <v>6.4</v>
      </c>
      <c r="K12" s="21">
        <v>64</v>
      </c>
      <c r="L12" s="17" t="s">
        <v>78</v>
      </c>
      <c r="N12" s="19">
        <v>1</v>
      </c>
      <c r="O12" s="13" t="s">
        <v>107</v>
      </c>
      <c r="P12" s="13" t="s">
        <v>94</v>
      </c>
      <c r="Q12" s="14" t="s">
        <v>108</v>
      </c>
      <c r="R12" s="22">
        <f t="shared" si="0"/>
        <v>10</v>
      </c>
      <c r="S12" s="22" cm="1">
        <f t="array" ref="S12">+SUMPRODUCT(--($G$5:$G$44=Q12),--($L$5:$L$44=T12),$I$5:$I$44,$J$5:$J$44)*1000</f>
        <v>64000</v>
      </c>
      <c r="T12" s="23" t="s">
        <v>78</v>
      </c>
      <c r="W12" s="16" t="str">
        <f t="shared" si="1"/>
        <v>UC-TM 8 - Marker for terminal block, 10 unidades</v>
      </c>
    </row>
    <row r="13" spans="4:23" hidden="1" x14ac:dyDescent="0.2">
      <c r="D13" s="19">
        <v>1</v>
      </c>
      <c r="E13" s="13" t="s">
        <v>109</v>
      </c>
      <c r="F13" s="13" t="s">
        <v>94</v>
      </c>
      <c r="G13" s="14" t="s">
        <v>110</v>
      </c>
      <c r="H13" s="15" t="s">
        <v>96</v>
      </c>
      <c r="I13" s="15">
        <v>50</v>
      </c>
      <c r="J13" s="21">
        <v>0.63500000000000001</v>
      </c>
      <c r="K13" s="21">
        <v>31.75</v>
      </c>
      <c r="L13" s="17" t="s">
        <v>78</v>
      </c>
      <c r="N13" s="19">
        <v>1</v>
      </c>
      <c r="O13" s="13" t="s">
        <v>109</v>
      </c>
      <c r="P13" s="13" t="s">
        <v>94</v>
      </c>
      <c r="Q13" s="14" t="s">
        <v>110</v>
      </c>
      <c r="R13" s="22">
        <f t="shared" si="0"/>
        <v>50</v>
      </c>
      <c r="S13" s="22" cm="1">
        <f t="array" ref="S13">+SUMPRODUCT(--($G$5:$G$44=Q13),--($L$5:$L$44=T13),$I$5:$I$44,$J$5:$J$44)*1000</f>
        <v>31750</v>
      </c>
      <c r="T13" s="23" t="s">
        <v>78</v>
      </c>
      <c r="W13" s="16" t="str">
        <f t="shared" si="1"/>
        <v>D-UT 2,5/10 - End cover, 50 unidades</v>
      </c>
    </row>
    <row r="14" spans="4:23" hidden="1" x14ac:dyDescent="0.2">
      <c r="D14" s="19">
        <v>1</v>
      </c>
      <c r="E14" s="13" t="s">
        <v>111</v>
      </c>
      <c r="F14" s="13" t="s">
        <v>94</v>
      </c>
      <c r="G14" s="14" t="s">
        <v>112</v>
      </c>
      <c r="H14" s="15" t="s">
        <v>96</v>
      </c>
      <c r="I14" s="15">
        <v>48</v>
      </c>
      <c r="J14" s="21">
        <v>0.84199999999999997</v>
      </c>
      <c r="K14" s="21">
        <v>40.415999999999997</v>
      </c>
      <c r="L14" s="17" t="s">
        <v>78</v>
      </c>
      <c r="N14" s="19">
        <v>1</v>
      </c>
      <c r="O14" s="13" t="s">
        <v>111</v>
      </c>
      <c r="P14" s="13" t="s">
        <v>94</v>
      </c>
      <c r="Q14" s="14" t="s">
        <v>112</v>
      </c>
      <c r="R14" s="22">
        <f t="shared" si="0"/>
        <v>50</v>
      </c>
      <c r="S14" s="22" cm="1">
        <f t="array" ref="S14">+SUMPRODUCT(--($G$5:$G$44=Q14),--($L$5:$L$44=T14),$I$5:$I$44,$J$5:$J$44)*1000</f>
        <v>42099.999999999993</v>
      </c>
      <c r="T14" s="23" t="s">
        <v>78</v>
      </c>
      <c r="W14" s="16" t="str">
        <f t="shared" si="1"/>
        <v>D-PTC 2,5-TWIN-MT - end cover, 50 unidades</v>
      </c>
    </row>
    <row r="15" spans="4:23" hidden="1" x14ac:dyDescent="0.2">
      <c r="D15" s="19">
        <v>1</v>
      </c>
      <c r="E15" s="13" t="s">
        <v>93</v>
      </c>
      <c r="F15" s="13" t="s">
        <v>94</v>
      </c>
      <c r="G15" s="14" t="s">
        <v>95</v>
      </c>
      <c r="H15" s="15" t="s">
        <v>96</v>
      </c>
      <c r="I15" s="15">
        <v>21</v>
      </c>
      <c r="J15" s="21">
        <v>2.46</v>
      </c>
      <c r="K15" s="21">
        <v>51.66</v>
      </c>
      <c r="L15" s="17" t="s">
        <v>78</v>
      </c>
      <c r="N15" s="19">
        <v>1</v>
      </c>
      <c r="O15" s="13" t="s">
        <v>113</v>
      </c>
      <c r="P15" s="13" t="s">
        <v>94</v>
      </c>
      <c r="Q15" s="14" t="s">
        <v>114</v>
      </c>
      <c r="R15" s="22">
        <f t="shared" si="0"/>
        <v>100</v>
      </c>
      <c r="S15" s="22" cm="1">
        <f t="array" ref="S15">+SUMPRODUCT(--($G$5:$G$44=Q15),--($L$5:$L$44=T15),$I$5:$I$44,$J$5:$J$44)*1000</f>
        <v>115399.99999999999</v>
      </c>
      <c r="T15" s="23" t="s">
        <v>79</v>
      </c>
      <c r="W15" s="16" t="str">
        <f t="shared" si="1"/>
        <v>ATP-STTB 4 - Partition plate, 100 unidades</v>
      </c>
    </row>
    <row r="16" spans="4:23" hidden="1" x14ac:dyDescent="0.2">
      <c r="D16" s="19">
        <v>1</v>
      </c>
      <c r="E16" s="13" t="s">
        <v>97</v>
      </c>
      <c r="F16" s="13" t="s">
        <v>94</v>
      </c>
      <c r="G16" s="14" t="s">
        <v>98</v>
      </c>
      <c r="H16" s="15" t="s">
        <v>96</v>
      </c>
      <c r="I16" s="15">
        <v>11</v>
      </c>
      <c r="J16" s="21">
        <v>0.93700000000000006</v>
      </c>
      <c r="K16" s="21">
        <v>10.307</v>
      </c>
      <c r="L16" s="17" t="s">
        <v>78</v>
      </c>
      <c r="N16" s="19">
        <v>1</v>
      </c>
      <c r="O16" s="13" t="s">
        <v>115</v>
      </c>
      <c r="P16" s="13" t="s">
        <v>94</v>
      </c>
      <c r="Q16" s="14" t="s">
        <v>116</v>
      </c>
      <c r="R16" s="22">
        <f t="shared" si="0"/>
        <v>20</v>
      </c>
      <c r="S16" s="22" cm="1">
        <f t="array" ref="S16">+SUMPRODUCT(--($G$5:$G$44=Q16),--($L$5:$L$44=T16),$I$5:$I$44,$J$5:$J$44)*1000</f>
        <v>62599.999999999993</v>
      </c>
      <c r="T16" s="23" t="s">
        <v>79</v>
      </c>
      <c r="W16" s="16" t="str">
        <f t="shared" si="1"/>
        <v>FBS 2-12 - Plug-in bridge, 20 unidades</v>
      </c>
    </row>
    <row r="17" spans="4:23" hidden="1" x14ac:dyDescent="0.2">
      <c r="D17" s="19">
        <v>1</v>
      </c>
      <c r="E17" s="13" t="s">
        <v>99</v>
      </c>
      <c r="F17" s="13" t="s">
        <v>94</v>
      </c>
      <c r="G17" s="14" t="s">
        <v>100</v>
      </c>
      <c r="H17" s="15" t="s">
        <v>96</v>
      </c>
      <c r="I17" s="15">
        <v>22</v>
      </c>
      <c r="J17" s="21">
        <v>1.69</v>
      </c>
      <c r="K17" s="21">
        <v>37.18</v>
      </c>
      <c r="L17" s="17" t="s">
        <v>78</v>
      </c>
      <c r="N17" s="19">
        <v>1</v>
      </c>
      <c r="O17" s="13" t="s">
        <v>117</v>
      </c>
      <c r="P17" s="13" t="s">
        <v>94</v>
      </c>
      <c r="Q17" s="14" t="s">
        <v>118</v>
      </c>
      <c r="R17" s="22">
        <f t="shared" si="0"/>
        <v>30</v>
      </c>
      <c r="S17" s="22" cm="1">
        <f t="array" ref="S17">+SUMPRODUCT(--($G$5:$G$44=Q17),--($L$5:$L$44=T17),$I$5:$I$44,$J$5:$J$44)*1000</f>
        <v>206400</v>
      </c>
      <c r="T17" s="23" t="s">
        <v>79</v>
      </c>
      <c r="W17" s="16" t="str">
        <f t="shared" si="1"/>
        <v>FBS 6-8 - plug-in bridge, 30 unidades</v>
      </c>
    </row>
    <row r="18" spans="4:23" hidden="1" x14ac:dyDescent="0.2">
      <c r="D18" s="19">
        <v>1</v>
      </c>
      <c r="E18" s="13" t="s">
        <v>103</v>
      </c>
      <c r="F18" s="13" t="s">
        <v>94</v>
      </c>
      <c r="G18" s="14">
        <v>3044131</v>
      </c>
      <c r="H18" s="15" t="s">
        <v>96</v>
      </c>
      <c r="I18" s="15">
        <v>24</v>
      </c>
      <c r="J18" s="21">
        <v>1.24</v>
      </c>
      <c r="K18" s="21">
        <v>29.759999999999998</v>
      </c>
      <c r="L18" s="17" t="s">
        <v>78</v>
      </c>
      <c r="N18" s="19">
        <v>1</v>
      </c>
      <c r="O18" s="13" t="s">
        <v>119</v>
      </c>
      <c r="P18" s="13" t="s">
        <v>120</v>
      </c>
      <c r="Q18" s="14" t="s">
        <v>121</v>
      </c>
      <c r="R18" s="22">
        <f t="shared" si="0"/>
        <v>2</v>
      </c>
      <c r="S18" s="22" cm="1">
        <f t="array" ref="S18">+SUMPRODUCT(--($G$5:$G$44=Q18),--($L$5:$L$44=T18),$I$5:$I$44,$J$5:$J$44)*1000</f>
        <v>27570</v>
      </c>
      <c r="T18" s="23" t="s">
        <v>80</v>
      </c>
      <c r="W18" s="16" t="str">
        <f t="shared" si="1"/>
        <v>Fiber slack spool manager, 2 unidades</v>
      </c>
    </row>
    <row r="19" spans="4:23" x14ac:dyDescent="0.2">
      <c r="D19" s="19">
        <v>1</v>
      </c>
      <c r="E19" s="13" t="s">
        <v>104</v>
      </c>
      <c r="F19" s="13" t="s">
        <v>94</v>
      </c>
      <c r="G19" s="14">
        <v>3030255</v>
      </c>
      <c r="H19" s="15" t="s">
        <v>96</v>
      </c>
      <c r="I19" s="15">
        <v>6</v>
      </c>
      <c r="J19" s="21">
        <v>1.75</v>
      </c>
      <c r="K19" s="21">
        <v>10.5</v>
      </c>
      <c r="L19" s="17" t="s">
        <v>78</v>
      </c>
      <c r="N19" s="19">
        <v>1</v>
      </c>
      <c r="O19" s="13" t="s">
        <v>122</v>
      </c>
      <c r="P19" s="13" t="s">
        <v>123</v>
      </c>
      <c r="Q19" s="14" t="s">
        <v>124</v>
      </c>
      <c r="R19" s="22">
        <f t="shared" si="0"/>
        <v>10</v>
      </c>
      <c r="S19" s="22" cm="1">
        <f t="array" ref="S19">+SUMPRODUCT(--($G$5:$G$44=Q19),--($L$5:$L$44=T19),$I$5:$I$44,$J$5:$J$44)*1000</f>
        <v>614600</v>
      </c>
      <c r="T19" s="23" t="s">
        <v>81</v>
      </c>
      <c r="W19" s="16" t="str">
        <f t="shared" si="1"/>
        <v>4-in, 48v axial fan 3.7m3/min | 132 cfm, 10 unidades</v>
      </c>
    </row>
    <row r="20" spans="4:23" x14ac:dyDescent="0.2">
      <c r="D20" s="19">
        <v>1</v>
      </c>
      <c r="E20" s="13" t="s">
        <v>111</v>
      </c>
      <c r="F20" s="13" t="s">
        <v>94</v>
      </c>
      <c r="G20" s="14" t="s">
        <v>112</v>
      </c>
      <c r="H20" s="15" t="s">
        <v>96</v>
      </c>
      <c r="I20" s="15">
        <v>2</v>
      </c>
      <c r="J20" s="21">
        <v>0.84199999999999997</v>
      </c>
      <c r="K20" s="21">
        <v>1.6839999999999999</v>
      </c>
      <c r="L20" s="17" t="s">
        <v>78</v>
      </c>
      <c r="N20" s="19">
        <v>1</v>
      </c>
      <c r="O20" s="13" t="s">
        <v>125</v>
      </c>
      <c r="P20" s="13" t="s">
        <v>126</v>
      </c>
      <c r="Q20" s="14" t="s">
        <v>127</v>
      </c>
      <c r="R20" s="22">
        <f t="shared" si="0"/>
        <v>4</v>
      </c>
      <c r="S20" s="22" cm="1">
        <f t="array" ref="S20">+SUMPRODUCT(--($G$5:$G$44=Q20),--($L$5:$L$44=T20),$I$5:$I$44,$J$5:$J$44)*1000</f>
        <v>198400</v>
      </c>
      <c r="T20" s="23" t="s">
        <v>81</v>
      </c>
      <c r="W20" s="16" t="str">
        <f t="shared" si="1"/>
        <v>4-in axial fan bracket, 4 unidades</v>
      </c>
    </row>
    <row r="21" spans="4:23" x14ac:dyDescent="0.2">
      <c r="D21" s="19">
        <v>1</v>
      </c>
      <c r="E21" s="13" t="s">
        <v>93</v>
      </c>
      <c r="F21" s="13" t="s">
        <v>94</v>
      </c>
      <c r="G21" s="14" t="s">
        <v>95</v>
      </c>
      <c r="H21" s="15" t="s">
        <v>96</v>
      </c>
      <c r="I21" s="15">
        <v>24</v>
      </c>
      <c r="J21" s="21">
        <v>2.46</v>
      </c>
      <c r="K21" s="21">
        <v>59.04</v>
      </c>
      <c r="L21" s="17" t="s">
        <v>78</v>
      </c>
      <c r="N21" s="19">
        <v>1</v>
      </c>
      <c r="O21" s="13" t="s">
        <v>88</v>
      </c>
      <c r="P21" s="13" t="s">
        <v>94</v>
      </c>
      <c r="Q21" s="14">
        <v>1047419</v>
      </c>
      <c r="R21" s="22">
        <f t="shared" si="0"/>
        <v>20</v>
      </c>
      <c r="S21" s="22" cm="1">
        <f t="array" ref="S21">+SUMPRODUCT(--($G$5:$G$44=Q21),--($L$5:$L$44=T21),$I$5:$I$44,$J$5:$J$44)*1000</f>
        <v>156400</v>
      </c>
      <c r="T21" s="23" t="s">
        <v>81</v>
      </c>
      <c r="W21" s="16" t="str">
        <f t="shared" si="1"/>
        <v>PTFIX 4/18X1,5 BU - Distribution block, 20 unidades</v>
      </c>
    </row>
    <row r="22" spans="4:23" x14ac:dyDescent="0.2">
      <c r="D22" s="19">
        <v>1</v>
      </c>
      <c r="E22" s="13" t="s">
        <v>97</v>
      </c>
      <c r="F22" s="13" t="s">
        <v>94</v>
      </c>
      <c r="G22" s="14" t="s">
        <v>98</v>
      </c>
      <c r="H22" s="15" t="s">
        <v>96</v>
      </c>
      <c r="I22" s="15">
        <v>12</v>
      </c>
      <c r="J22" s="21">
        <v>0.93700000000000006</v>
      </c>
      <c r="K22" s="21">
        <v>11.244</v>
      </c>
      <c r="L22" s="17" t="s">
        <v>78</v>
      </c>
      <c r="N22" s="19">
        <v>1</v>
      </c>
      <c r="O22" s="13" t="s">
        <v>128</v>
      </c>
      <c r="P22" s="13" t="s">
        <v>129</v>
      </c>
      <c r="Q22" s="18" t="s">
        <v>130</v>
      </c>
      <c r="R22" s="22">
        <f t="shared" si="0"/>
        <v>3</v>
      </c>
      <c r="S22" s="22" cm="1">
        <f t="array" ref="S22">+SUMPRODUCT(--($G$5:$G$44=Q22),--($L$5:$L$44=T22),$I$5:$I$44,$J$5:$J$44)*1000</f>
        <v>5729.9999999999991</v>
      </c>
      <c r="T22" s="23" t="s">
        <v>81</v>
      </c>
      <c r="W22" s="16" t="str">
        <f t="shared" si="1"/>
        <v>Corrugated Wire Loom LSZH Ø0.390", 3 unidades</v>
      </c>
    </row>
    <row r="23" spans="4:23" hidden="1" x14ac:dyDescent="0.2">
      <c r="D23" s="19">
        <v>1</v>
      </c>
      <c r="E23" s="13" t="s">
        <v>99</v>
      </c>
      <c r="F23" s="13" t="s">
        <v>94</v>
      </c>
      <c r="G23" s="14" t="s">
        <v>100</v>
      </c>
      <c r="H23" s="15" t="s">
        <v>96</v>
      </c>
      <c r="I23" s="15">
        <v>10</v>
      </c>
      <c r="J23" s="21">
        <v>1.69</v>
      </c>
      <c r="K23" s="21">
        <v>16.899999999999999</v>
      </c>
      <c r="L23" s="17" t="s">
        <v>78</v>
      </c>
      <c r="N23" s="19">
        <v>1</v>
      </c>
      <c r="O23" s="13" t="s">
        <v>89</v>
      </c>
      <c r="P23" s="13" t="s">
        <v>94</v>
      </c>
      <c r="Q23" s="18" t="s">
        <v>86</v>
      </c>
      <c r="R23" s="22">
        <f t="shared" si="0"/>
        <v>100</v>
      </c>
      <c r="S23" s="22" cm="1">
        <f t="array" ref="S23">+SUMPRODUCT(--($G$5:$G$44=Q23),--($L$5:$L$44=T23),$I$5:$I$44,$J$5:$J$44)*1000</f>
        <v>2021000</v>
      </c>
      <c r="T23" s="23" t="s">
        <v>78</v>
      </c>
      <c r="W23" s="16" t="str">
        <f t="shared" si="1"/>
        <v>PT 6-FSI/C-LED 48 - fuse modular terminal block 48V/25A, 100 unidades</v>
      </c>
    </row>
    <row r="24" spans="4:23" ht="12.75" x14ac:dyDescent="0.2">
      <c r="D24" s="19">
        <v>1</v>
      </c>
      <c r="E24" s="13" t="s">
        <v>103</v>
      </c>
      <c r="F24" s="13" t="s">
        <v>94</v>
      </c>
      <c r="G24" s="14">
        <v>3044131</v>
      </c>
      <c r="H24" s="15" t="s">
        <v>96</v>
      </c>
      <c r="I24" s="15">
        <v>8</v>
      </c>
      <c r="J24" s="21">
        <v>1.24</v>
      </c>
      <c r="K24" s="21">
        <v>9.92</v>
      </c>
      <c r="L24" s="17" t="s">
        <v>78</v>
      </c>
      <c r="N24"/>
      <c r="O24"/>
      <c r="P24"/>
      <c r="Q24"/>
      <c r="R24"/>
      <c r="S24"/>
      <c r="T24"/>
      <c r="U24"/>
    </row>
    <row r="25" spans="4:23" ht="12.75" x14ac:dyDescent="0.2">
      <c r="D25" s="19">
        <v>1</v>
      </c>
      <c r="E25" s="13" t="s">
        <v>104</v>
      </c>
      <c r="F25" s="13" t="s">
        <v>94</v>
      </c>
      <c r="G25" s="14">
        <v>3030255</v>
      </c>
      <c r="H25" s="15" t="s">
        <v>96</v>
      </c>
      <c r="I25" s="15">
        <v>2</v>
      </c>
      <c r="J25" s="21">
        <v>1.75</v>
      </c>
      <c r="K25" s="21">
        <v>3.5</v>
      </c>
      <c r="L25" s="17" t="s">
        <v>78</v>
      </c>
      <c r="N25"/>
      <c r="O25"/>
      <c r="P25"/>
      <c r="Q25"/>
      <c r="R25"/>
      <c r="S25"/>
      <c r="T25"/>
      <c r="U25"/>
    </row>
    <row r="26" spans="4:23" ht="12.75" x14ac:dyDescent="0.2">
      <c r="D26" s="19">
        <v>1</v>
      </c>
      <c r="E26" s="13" t="s">
        <v>113</v>
      </c>
      <c r="F26" s="13" t="s">
        <v>94</v>
      </c>
      <c r="G26" s="14" t="s">
        <v>114</v>
      </c>
      <c r="H26" s="15" t="s">
        <v>96</v>
      </c>
      <c r="I26" s="15">
        <v>55</v>
      </c>
      <c r="J26" s="21">
        <v>1.1539999999999999</v>
      </c>
      <c r="K26" s="21">
        <v>63.47</v>
      </c>
      <c r="L26" s="17" t="s">
        <v>79</v>
      </c>
      <c r="N26"/>
      <c r="O26"/>
      <c r="P26"/>
      <c r="Q26"/>
      <c r="R26"/>
      <c r="S26"/>
      <c r="T26"/>
      <c r="U26"/>
    </row>
    <row r="27" spans="4:23" ht="12.75" x14ac:dyDescent="0.2">
      <c r="D27" s="19">
        <v>1</v>
      </c>
      <c r="E27" s="13" t="s">
        <v>115</v>
      </c>
      <c r="F27" s="13" t="s">
        <v>94</v>
      </c>
      <c r="G27" s="14" t="s">
        <v>116</v>
      </c>
      <c r="H27" s="15" t="s">
        <v>96</v>
      </c>
      <c r="I27" s="15">
        <v>9</v>
      </c>
      <c r="J27" s="21">
        <v>3.13</v>
      </c>
      <c r="K27" s="21">
        <v>28.169999999999998</v>
      </c>
      <c r="L27" s="17" t="s">
        <v>79</v>
      </c>
      <c r="N27"/>
      <c r="O27"/>
      <c r="P27"/>
      <c r="Q27"/>
      <c r="R27"/>
      <c r="S27"/>
      <c r="T27"/>
      <c r="U27"/>
    </row>
    <row r="28" spans="4:23" ht="12.75" x14ac:dyDescent="0.2">
      <c r="D28" s="19">
        <v>1</v>
      </c>
      <c r="E28" s="13" t="s">
        <v>117</v>
      </c>
      <c r="F28" s="13" t="s">
        <v>94</v>
      </c>
      <c r="G28" s="14" t="s">
        <v>118</v>
      </c>
      <c r="H28" s="15" t="s">
        <v>96</v>
      </c>
      <c r="I28" s="15">
        <v>24</v>
      </c>
      <c r="J28" s="21">
        <v>6.88</v>
      </c>
      <c r="K28" s="21">
        <v>165.12</v>
      </c>
      <c r="L28" s="17" t="s">
        <v>79</v>
      </c>
      <c r="N28"/>
      <c r="O28"/>
      <c r="P28"/>
      <c r="Q28"/>
      <c r="R28"/>
      <c r="S28"/>
      <c r="T28"/>
      <c r="U28"/>
    </row>
    <row r="29" spans="4:23" ht="12.75" x14ac:dyDescent="0.2">
      <c r="D29" s="19">
        <v>1</v>
      </c>
      <c r="E29" s="13" t="s">
        <v>113</v>
      </c>
      <c r="F29" s="13" t="s">
        <v>94</v>
      </c>
      <c r="G29" s="14" t="s">
        <v>114</v>
      </c>
      <c r="H29" s="15" t="s">
        <v>96</v>
      </c>
      <c r="I29" s="15">
        <v>26</v>
      </c>
      <c r="J29" s="21">
        <v>1.1539999999999999</v>
      </c>
      <c r="K29" s="21">
        <v>30.003999999999998</v>
      </c>
      <c r="L29" s="17" t="s">
        <v>79</v>
      </c>
      <c r="N29"/>
      <c r="O29"/>
      <c r="P29"/>
      <c r="Q29"/>
      <c r="R29"/>
      <c r="S29"/>
      <c r="T29"/>
      <c r="U29"/>
    </row>
    <row r="30" spans="4:23" ht="12.75" x14ac:dyDescent="0.2">
      <c r="D30" s="19">
        <v>1</v>
      </c>
      <c r="E30" s="13" t="s">
        <v>115</v>
      </c>
      <c r="F30" s="13" t="s">
        <v>94</v>
      </c>
      <c r="G30" s="14" t="s">
        <v>116</v>
      </c>
      <c r="H30" s="15" t="s">
        <v>96</v>
      </c>
      <c r="I30" s="15">
        <v>5</v>
      </c>
      <c r="J30" s="21">
        <v>3.13</v>
      </c>
      <c r="K30" s="21">
        <v>15.649999999999999</v>
      </c>
      <c r="L30" s="17" t="s">
        <v>79</v>
      </c>
      <c r="N30"/>
      <c r="O30"/>
      <c r="P30"/>
      <c r="Q30"/>
      <c r="R30"/>
      <c r="S30"/>
      <c r="T30"/>
      <c r="U30"/>
    </row>
    <row r="31" spans="4:23" ht="12.75" x14ac:dyDescent="0.2">
      <c r="D31" s="19">
        <v>1</v>
      </c>
      <c r="E31" s="13" t="s">
        <v>117</v>
      </c>
      <c r="F31" s="13" t="s">
        <v>94</v>
      </c>
      <c r="G31" s="14" t="s">
        <v>118</v>
      </c>
      <c r="H31" s="15" t="s">
        <v>96</v>
      </c>
      <c r="I31" s="15">
        <v>4</v>
      </c>
      <c r="J31" s="21">
        <v>6.88</v>
      </c>
      <c r="K31" s="21">
        <v>27.52</v>
      </c>
      <c r="L31" s="17" t="s">
        <v>79</v>
      </c>
      <c r="N31"/>
      <c r="O31"/>
      <c r="P31"/>
      <c r="Q31"/>
      <c r="R31"/>
      <c r="S31"/>
      <c r="T31"/>
      <c r="U31"/>
    </row>
    <row r="32" spans="4:23" ht="12.75" x14ac:dyDescent="0.2">
      <c r="D32" s="19">
        <v>1</v>
      </c>
      <c r="E32" s="13" t="s">
        <v>113</v>
      </c>
      <c r="F32" s="13" t="s">
        <v>94</v>
      </c>
      <c r="G32" s="14" t="s">
        <v>114</v>
      </c>
      <c r="H32" s="15" t="s">
        <v>96</v>
      </c>
      <c r="I32" s="15">
        <v>19</v>
      </c>
      <c r="J32" s="21">
        <v>1.1539999999999999</v>
      </c>
      <c r="K32" s="21">
        <v>21.925999999999998</v>
      </c>
      <c r="L32" s="17" t="s">
        <v>79</v>
      </c>
      <c r="N32"/>
      <c r="O32"/>
      <c r="P32"/>
      <c r="Q32"/>
      <c r="R32"/>
      <c r="S32"/>
      <c r="T32"/>
      <c r="U32"/>
    </row>
    <row r="33" spans="4:21" ht="12.75" x14ac:dyDescent="0.2">
      <c r="D33" s="19">
        <v>1</v>
      </c>
      <c r="E33" s="13" t="s">
        <v>115</v>
      </c>
      <c r="F33" s="13" t="s">
        <v>94</v>
      </c>
      <c r="G33" s="14" t="s">
        <v>116</v>
      </c>
      <c r="H33" s="15" t="s">
        <v>96</v>
      </c>
      <c r="I33" s="15">
        <v>6</v>
      </c>
      <c r="J33" s="21">
        <v>3.13</v>
      </c>
      <c r="K33" s="21">
        <v>18.78</v>
      </c>
      <c r="L33" s="17" t="s">
        <v>79</v>
      </c>
      <c r="N33"/>
      <c r="O33"/>
      <c r="P33"/>
      <c r="Q33"/>
      <c r="R33"/>
      <c r="S33"/>
      <c r="T33"/>
      <c r="U33"/>
    </row>
    <row r="34" spans="4:21" ht="12.75" x14ac:dyDescent="0.2">
      <c r="D34" s="19">
        <v>1</v>
      </c>
      <c r="E34" s="13" t="s">
        <v>117</v>
      </c>
      <c r="F34" s="13" t="s">
        <v>94</v>
      </c>
      <c r="G34" s="14" t="s">
        <v>118</v>
      </c>
      <c r="H34" s="15" t="s">
        <v>96</v>
      </c>
      <c r="I34" s="15">
        <v>2</v>
      </c>
      <c r="J34" s="21">
        <v>6.88</v>
      </c>
      <c r="K34" s="21">
        <v>13.76</v>
      </c>
      <c r="L34" s="17" t="s">
        <v>79</v>
      </c>
      <c r="N34"/>
      <c r="O34"/>
      <c r="P34"/>
      <c r="Q34"/>
      <c r="R34"/>
      <c r="S34"/>
      <c r="T34"/>
      <c r="U34"/>
    </row>
    <row r="35" spans="4:21" ht="12.75" x14ac:dyDescent="0.2">
      <c r="D35" s="19">
        <v>1</v>
      </c>
      <c r="E35" s="13" t="s">
        <v>119</v>
      </c>
      <c r="F35" s="13" t="s">
        <v>120</v>
      </c>
      <c r="G35" s="14" t="s">
        <v>121</v>
      </c>
      <c r="H35" s="15" t="s">
        <v>96</v>
      </c>
      <c r="I35" s="15">
        <v>2</v>
      </c>
      <c r="J35" s="21">
        <v>13.785</v>
      </c>
      <c r="K35" s="21">
        <v>27.57</v>
      </c>
      <c r="L35" s="17" t="s">
        <v>80</v>
      </c>
      <c r="N35"/>
      <c r="O35"/>
      <c r="P35"/>
      <c r="Q35"/>
      <c r="R35"/>
      <c r="S35"/>
      <c r="T35"/>
      <c r="U35"/>
    </row>
    <row r="36" spans="4:21" ht="12.75" x14ac:dyDescent="0.2">
      <c r="D36" s="19">
        <v>1</v>
      </c>
      <c r="E36" s="13" t="s">
        <v>122</v>
      </c>
      <c r="F36" s="13" t="s">
        <v>123</v>
      </c>
      <c r="G36" s="14" t="s">
        <v>124</v>
      </c>
      <c r="H36" s="15" t="s">
        <v>96</v>
      </c>
      <c r="I36" s="15">
        <v>6</v>
      </c>
      <c r="J36" s="21">
        <v>61.46</v>
      </c>
      <c r="K36" s="21">
        <v>368.76</v>
      </c>
      <c r="L36" s="17" t="s">
        <v>81</v>
      </c>
      <c r="N36"/>
      <c r="O36"/>
      <c r="P36"/>
      <c r="Q36"/>
      <c r="R36"/>
      <c r="S36"/>
      <c r="T36"/>
      <c r="U36"/>
    </row>
    <row r="37" spans="4:21" ht="12.75" x14ac:dyDescent="0.2">
      <c r="D37" s="19">
        <v>1</v>
      </c>
      <c r="E37" s="13" t="s">
        <v>125</v>
      </c>
      <c r="F37" s="13" t="s">
        <v>126</v>
      </c>
      <c r="G37" s="14" t="s">
        <v>127</v>
      </c>
      <c r="H37" s="15" t="s">
        <v>96</v>
      </c>
      <c r="I37" s="15">
        <v>4</v>
      </c>
      <c r="J37" s="21">
        <v>49.6</v>
      </c>
      <c r="K37" s="21">
        <v>198.4</v>
      </c>
      <c r="L37" s="17" t="s">
        <v>81</v>
      </c>
      <c r="N37"/>
      <c r="O37"/>
      <c r="P37"/>
      <c r="Q37"/>
      <c r="R37"/>
      <c r="S37"/>
      <c r="T37"/>
      <c r="U37"/>
    </row>
    <row r="38" spans="4:21" ht="12.75" x14ac:dyDescent="0.2">
      <c r="D38" s="19">
        <v>1</v>
      </c>
      <c r="E38" s="13" t="s">
        <v>88</v>
      </c>
      <c r="F38" s="13" t="s">
        <v>94</v>
      </c>
      <c r="G38" s="14">
        <v>1047419</v>
      </c>
      <c r="H38" s="15" t="s">
        <v>96</v>
      </c>
      <c r="I38" s="15">
        <v>10</v>
      </c>
      <c r="J38" s="21">
        <v>7.82</v>
      </c>
      <c r="K38" s="21">
        <v>78.2</v>
      </c>
      <c r="L38" s="17" t="s">
        <v>81</v>
      </c>
      <c r="N38"/>
      <c r="O38"/>
      <c r="P38"/>
      <c r="Q38"/>
      <c r="R38"/>
      <c r="S38"/>
      <c r="T38"/>
      <c r="U38"/>
    </row>
    <row r="39" spans="4:21" ht="12.75" x14ac:dyDescent="0.2">
      <c r="D39" s="19">
        <v>1</v>
      </c>
      <c r="E39" s="13" t="s">
        <v>88</v>
      </c>
      <c r="F39" s="13" t="s">
        <v>94</v>
      </c>
      <c r="G39" s="14">
        <v>1047419</v>
      </c>
      <c r="H39" s="15" t="s">
        <v>96</v>
      </c>
      <c r="I39" s="15">
        <v>4</v>
      </c>
      <c r="J39" s="21">
        <v>7.82</v>
      </c>
      <c r="K39" s="21">
        <v>31.28</v>
      </c>
      <c r="L39" s="17" t="s">
        <v>81</v>
      </c>
      <c r="N39"/>
      <c r="O39"/>
      <c r="P39"/>
      <c r="Q39"/>
      <c r="R39"/>
      <c r="S39"/>
      <c r="T39"/>
      <c r="U39"/>
    </row>
    <row r="40" spans="4:21" ht="12.75" x14ac:dyDescent="0.2">
      <c r="D40" s="19">
        <v>1</v>
      </c>
      <c r="E40" s="13" t="s">
        <v>122</v>
      </c>
      <c r="F40" s="13" t="s">
        <v>123</v>
      </c>
      <c r="G40" s="14" t="s">
        <v>124</v>
      </c>
      <c r="H40" s="15" t="s">
        <v>96</v>
      </c>
      <c r="I40" s="15">
        <v>2</v>
      </c>
      <c r="J40" s="21">
        <v>61.46</v>
      </c>
      <c r="K40" s="21">
        <v>122.92</v>
      </c>
      <c r="L40" s="17" t="s">
        <v>81</v>
      </c>
      <c r="N40"/>
      <c r="O40"/>
      <c r="P40"/>
      <c r="Q40"/>
      <c r="R40"/>
      <c r="S40"/>
      <c r="T40"/>
      <c r="U40"/>
    </row>
    <row r="41" spans="4:21" ht="12.75" x14ac:dyDescent="0.2">
      <c r="D41" s="19">
        <v>1</v>
      </c>
      <c r="E41" s="13" t="s">
        <v>88</v>
      </c>
      <c r="F41" s="13" t="s">
        <v>94</v>
      </c>
      <c r="G41" s="14">
        <v>1047419</v>
      </c>
      <c r="H41" s="15" t="s">
        <v>96</v>
      </c>
      <c r="I41" s="15">
        <v>6</v>
      </c>
      <c r="J41" s="21">
        <v>7.82</v>
      </c>
      <c r="K41" s="21">
        <v>46.92</v>
      </c>
      <c r="L41" s="17" t="s">
        <v>81</v>
      </c>
      <c r="N41"/>
      <c r="O41"/>
      <c r="P41"/>
      <c r="Q41"/>
      <c r="R41"/>
      <c r="S41"/>
      <c r="T41"/>
      <c r="U41"/>
    </row>
    <row r="42" spans="4:21" ht="12.75" x14ac:dyDescent="0.2">
      <c r="D42" s="19">
        <v>1</v>
      </c>
      <c r="E42" s="13" t="s">
        <v>122</v>
      </c>
      <c r="F42" s="13" t="s">
        <v>123</v>
      </c>
      <c r="G42" s="14" t="s">
        <v>124</v>
      </c>
      <c r="H42" s="15" t="s">
        <v>96</v>
      </c>
      <c r="I42" s="15">
        <v>2</v>
      </c>
      <c r="J42" s="21">
        <v>61.46</v>
      </c>
      <c r="K42" s="21">
        <v>122.92</v>
      </c>
      <c r="L42" s="17" t="s">
        <v>81</v>
      </c>
      <c r="N42"/>
      <c r="O42"/>
      <c r="P42"/>
      <c r="Q42"/>
      <c r="R42"/>
      <c r="S42"/>
      <c r="T42"/>
      <c r="U42"/>
    </row>
    <row r="43" spans="4:21" ht="12.75" x14ac:dyDescent="0.2">
      <c r="D43" s="19">
        <v>1</v>
      </c>
      <c r="E43" s="13" t="s">
        <v>128</v>
      </c>
      <c r="F43" s="13" t="s">
        <v>129</v>
      </c>
      <c r="G43" s="18" t="s">
        <v>130</v>
      </c>
      <c r="H43" s="15" t="s">
        <v>131</v>
      </c>
      <c r="I43" s="15">
        <v>3</v>
      </c>
      <c r="J43" s="21">
        <v>1.91</v>
      </c>
      <c r="K43" s="21">
        <v>5.7299999999999995</v>
      </c>
      <c r="L43" s="17" t="s">
        <v>81</v>
      </c>
      <c r="N43"/>
      <c r="O43"/>
      <c r="P43"/>
      <c r="Q43"/>
      <c r="R43"/>
      <c r="S43"/>
      <c r="T43"/>
      <c r="U43"/>
    </row>
    <row r="44" spans="4:21" ht="12.75" x14ac:dyDescent="0.2">
      <c r="D44" s="19">
        <v>1</v>
      </c>
      <c r="E44" s="13" t="s">
        <v>89</v>
      </c>
      <c r="F44" s="13" t="s">
        <v>94</v>
      </c>
      <c r="G44" s="18" t="s">
        <v>86</v>
      </c>
      <c r="H44" s="15" t="s">
        <v>96</v>
      </c>
      <c r="I44" s="15">
        <v>100</v>
      </c>
      <c r="J44" s="21">
        <v>20.21</v>
      </c>
      <c r="K44" s="21">
        <v>2021</v>
      </c>
      <c r="L44" s="17" t="s">
        <v>78</v>
      </c>
      <c r="N44"/>
      <c r="O44"/>
      <c r="P44"/>
      <c r="Q44"/>
      <c r="R44"/>
      <c r="S44"/>
      <c r="T44"/>
      <c r="U44"/>
    </row>
    <row r="45" spans="4:21" x14ac:dyDescent="0.2">
      <c r="G45" s="20"/>
    </row>
  </sheetData>
  <autoFilter ref="N4:T23" xr:uid="{4F503CD9-F44C-4518-8363-1F1B0BEDBCCF}">
    <filterColumn colId="6">
      <filters>
        <filter val="1Z17E4V30410969549"/>
      </filters>
    </filterColumn>
  </autoFilter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A84F-3CD1-48BF-9D27-6DCF411D7C46}">
  <sheetPr>
    <pageSetUpPr fitToPage="1"/>
  </sheetPr>
  <dimension ref="C1:M123"/>
  <sheetViews>
    <sheetView tabSelected="1" topLeftCell="A103" workbookViewId="0">
      <selection activeCell="I124" sqref="I124"/>
    </sheetView>
    <sheetView tabSelected="1" topLeftCell="A67" workbookViewId="1">
      <selection activeCell="C118" sqref="C118:I123"/>
    </sheetView>
  </sheetViews>
  <sheetFormatPr baseColWidth="10" defaultColWidth="9.140625" defaultRowHeight="12.75" x14ac:dyDescent="0.2"/>
  <cols>
    <col min="1" max="2" width="2.140625" customWidth="1"/>
    <col min="3" max="3" width="20.7109375" customWidth="1"/>
    <col min="4" max="4" width="62.85546875" customWidth="1"/>
    <col min="5" max="5" width="30.85546875" bestFit="1" customWidth="1"/>
    <col min="6" max="6" width="12.85546875" customWidth="1"/>
    <col min="7" max="7" width="7" customWidth="1"/>
    <col min="8" max="8" width="8.140625" customWidth="1"/>
    <col min="9" max="9" width="12.85546875" customWidth="1"/>
    <col min="10" max="10" width="4" customWidth="1"/>
    <col min="11" max="11" width="30.5703125" bestFit="1" customWidth="1"/>
    <col min="12" max="12" width="19.85546875" bestFit="1" customWidth="1"/>
  </cols>
  <sheetData>
    <row r="1" spans="3:4" s="5" customFormat="1" ht="12.95" customHeight="1" x14ac:dyDescent="0.2"/>
    <row r="2" spans="3:4" s="5" customFormat="1" ht="12.95" customHeight="1" x14ac:dyDescent="0.2"/>
    <row r="3" spans="3:4" s="5" customFormat="1" ht="12.95" customHeight="1" x14ac:dyDescent="0.2">
      <c r="C3" s="6" t="s">
        <v>44</v>
      </c>
    </row>
    <row r="4" spans="3:4" s="5" customFormat="1" ht="12.95" customHeight="1" x14ac:dyDescent="0.2">
      <c r="C4" s="5" t="s">
        <v>20</v>
      </c>
      <c r="D4" s="5" t="s">
        <v>28</v>
      </c>
    </row>
    <row r="5" spans="3:4" s="5" customFormat="1" ht="12.95" customHeight="1" x14ac:dyDescent="0.2">
      <c r="C5" s="5" t="s">
        <v>21</v>
      </c>
      <c r="D5" s="5" t="s">
        <v>45</v>
      </c>
    </row>
    <row r="6" spans="3:4" s="5" customFormat="1" ht="12.95" customHeight="1" x14ac:dyDescent="0.2">
      <c r="C6" s="5" t="s">
        <v>22</v>
      </c>
      <c r="D6" s="5" t="s">
        <v>46</v>
      </c>
    </row>
    <row r="7" spans="3:4" s="5" customFormat="1" ht="12.95" customHeight="1" x14ac:dyDescent="0.2">
      <c r="C7" s="5" t="s">
        <v>23</v>
      </c>
      <c r="D7" s="5" t="s">
        <v>47</v>
      </c>
    </row>
    <row r="8" spans="3:4" s="5" customFormat="1" ht="12.95" customHeight="1" x14ac:dyDescent="0.2">
      <c r="C8" s="5" t="s">
        <v>24</v>
      </c>
      <c r="D8" s="5" t="s">
        <v>48</v>
      </c>
    </row>
    <row r="9" spans="3:4" s="5" customFormat="1" ht="12.95" customHeight="1" x14ac:dyDescent="0.2">
      <c r="C9" s="5" t="s">
        <v>25</v>
      </c>
      <c r="D9" s="5" t="s">
        <v>35</v>
      </c>
    </row>
    <row r="10" spans="3:4" s="5" customFormat="1" ht="12.95" customHeight="1" x14ac:dyDescent="0.2">
      <c r="C10" s="5" t="s">
        <v>26</v>
      </c>
      <c r="D10" s="5" t="s">
        <v>49</v>
      </c>
    </row>
    <row r="11" spans="3:4" s="5" customFormat="1" ht="12.95" customHeight="1" x14ac:dyDescent="0.2">
      <c r="C11" s="5" t="s">
        <v>27</v>
      </c>
      <c r="D11" s="5" t="s">
        <v>37</v>
      </c>
    </row>
    <row r="12" spans="3:4" s="5" customFormat="1" ht="12.95" customHeight="1" x14ac:dyDescent="0.2"/>
    <row r="13" spans="3:4" s="5" customFormat="1" ht="12.95" customHeight="1" x14ac:dyDescent="0.2">
      <c r="C13" s="6" t="s">
        <v>30</v>
      </c>
    </row>
    <row r="14" spans="3:4" s="5" customFormat="1" ht="12.95" customHeight="1" x14ac:dyDescent="0.2">
      <c r="C14" s="5" t="s">
        <v>20</v>
      </c>
      <c r="D14" s="5" t="s">
        <v>43</v>
      </c>
    </row>
    <row r="15" spans="3:4" s="5" customFormat="1" ht="12.95" customHeight="1" x14ac:dyDescent="0.2">
      <c r="C15" s="5" t="s">
        <v>21</v>
      </c>
      <c r="D15" s="5" t="s">
        <v>42</v>
      </c>
    </row>
    <row r="16" spans="3:4" s="5" customFormat="1" ht="12.95" customHeight="1" x14ac:dyDescent="0.2">
      <c r="C16" s="5" t="s">
        <v>22</v>
      </c>
      <c r="D16" s="5" t="s">
        <v>41</v>
      </c>
    </row>
    <row r="17" spans="3:10" s="5" customFormat="1" ht="12.95" customHeight="1" x14ac:dyDescent="0.2">
      <c r="C17" s="5" t="s">
        <v>23</v>
      </c>
      <c r="D17" s="5" t="s">
        <v>38</v>
      </c>
    </row>
    <row r="18" spans="3:10" s="5" customFormat="1" ht="12.95" customHeight="1" x14ac:dyDescent="0.2">
      <c r="C18" s="5" t="s">
        <v>24</v>
      </c>
      <c r="D18" s="5" t="str">
        <f>+UPPER("Quilicura")</f>
        <v>QUILICURA</v>
      </c>
    </row>
    <row r="19" spans="3:10" s="5" customFormat="1" ht="12.95" customHeight="1" x14ac:dyDescent="0.2">
      <c r="C19" s="5" t="s">
        <v>25</v>
      </c>
      <c r="D19" s="5" t="s">
        <v>35</v>
      </c>
    </row>
    <row r="20" spans="3:10" s="5" customFormat="1" ht="12.95" customHeight="1" x14ac:dyDescent="0.2">
      <c r="C20" s="5" t="s">
        <v>26</v>
      </c>
      <c r="D20" s="5" t="s">
        <v>40</v>
      </c>
    </row>
    <row r="21" spans="3:10" s="5" customFormat="1" ht="12.95" customHeight="1" x14ac:dyDescent="0.2"/>
    <row r="22" spans="3:10" s="5" customFormat="1" ht="12.95" customHeight="1" x14ac:dyDescent="0.2">
      <c r="C22" s="6" t="s">
        <v>29</v>
      </c>
    </row>
    <row r="23" spans="3:10" s="5" customFormat="1" ht="12.95" customHeight="1" x14ac:dyDescent="0.2">
      <c r="C23" s="5" t="s">
        <v>20</v>
      </c>
      <c r="D23" s="5" t="s">
        <v>32</v>
      </c>
    </row>
    <row r="24" spans="3:10" s="5" customFormat="1" ht="12.95" customHeight="1" x14ac:dyDescent="0.2">
      <c r="C24" s="5" t="s">
        <v>21</v>
      </c>
      <c r="D24" s="5" t="s">
        <v>31</v>
      </c>
    </row>
    <row r="25" spans="3:10" s="5" customFormat="1" ht="12.95" customHeight="1" x14ac:dyDescent="0.2">
      <c r="C25" s="5" t="s">
        <v>22</v>
      </c>
      <c r="D25" s="5" t="s">
        <v>39</v>
      </c>
    </row>
    <row r="26" spans="3:10" s="5" customFormat="1" ht="12.95" customHeight="1" x14ac:dyDescent="0.2">
      <c r="C26" s="5" t="s">
        <v>23</v>
      </c>
      <c r="D26" s="5" t="s">
        <v>33</v>
      </c>
    </row>
    <row r="27" spans="3:10" s="5" customFormat="1" ht="12.95" customHeight="1" x14ac:dyDescent="0.2">
      <c r="C27" s="5" t="s">
        <v>24</v>
      </c>
      <c r="D27" s="5" t="s">
        <v>34</v>
      </c>
    </row>
    <row r="28" spans="3:10" s="5" customFormat="1" ht="12.95" customHeight="1" x14ac:dyDescent="0.2">
      <c r="C28" s="5" t="s">
        <v>25</v>
      </c>
      <c r="D28" s="5" t="s">
        <v>35</v>
      </c>
    </row>
    <row r="29" spans="3:10" s="5" customFormat="1" ht="12.95" customHeight="1" x14ac:dyDescent="0.2">
      <c r="C29" s="5" t="s">
        <v>26</v>
      </c>
      <c r="D29" s="5" t="s">
        <v>36</v>
      </c>
    </row>
    <row r="30" spans="3:10" s="5" customFormat="1" ht="12.95" customHeight="1" x14ac:dyDescent="0.2"/>
    <row r="31" spans="3:10" s="5" customFormat="1" ht="12.95" customHeight="1" x14ac:dyDescent="0.2">
      <c r="C31" s="4" t="s">
        <v>4</v>
      </c>
      <c r="D31" s="4" t="s">
        <v>0</v>
      </c>
      <c r="E31" s="4" t="s">
        <v>5</v>
      </c>
      <c r="F31" s="4" t="s">
        <v>17</v>
      </c>
      <c r="G31" s="4" t="s">
        <v>7</v>
      </c>
      <c r="H31" s="4" t="s">
        <v>8</v>
      </c>
      <c r="I31" s="4" t="s">
        <v>19</v>
      </c>
      <c r="J31" s="53"/>
    </row>
    <row r="32" spans="3:10" s="5" customFormat="1" ht="12.95" customHeight="1" x14ac:dyDescent="0.2">
      <c r="C32" s="24" t="s">
        <v>1</v>
      </c>
      <c r="D32" s="24" t="s">
        <v>15</v>
      </c>
      <c r="E32" s="24" t="s">
        <v>6</v>
      </c>
      <c r="F32" s="25">
        <f>6*160*1000</f>
        <v>960000</v>
      </c>
      <c r="G32" s="24"/>
      <c r="H32" s="24"/>
      <c r="I32" s="25">
        <f>+F32</f>
        <v>960000</v>
      </c>
      <c r="J32" s="54"/>
    </row>
    <row r="33" spans="3:10" s="5" customFormat="1" ht="12.95" customHeight="1" x14ac:dyDescent="0.2">
      <c r="C33" s="26"/>
      <c r="D33" s="26" t="s">
        <v>18</v>
      </c>
      <c r="E33" s="26" t="s">
        <v>9</v>
      </c>
      <c r="F33" s="27"/>
      <c r="G33" s="26"/>
      <c r="H33" s="26"/>
      <c r="I33" s="27"/>
      <c r="J33" s="55"/>
    </row>
    <row r="34" spans="3:10" s="5" customFormat="1" ht="12.95" customHeight="1" x14ac:dyDescent="0.2">
      <c r="C34" s="26"/>
      <c r="D34" s="26"/>
      <c r="E34" s="26" t="s">
        <v>10</v>
      </c>
      <c r="F34" s="27"/>
      <c r="G34" s="26"/>
      <c r="H34" s="26"/>
      <c r="I34" s="27"/>
      <c r="J34" s="55"/>
    </row>
    <row r="35" spans="3:10" s="5" customFormat="1" ht="12.95" customHeight="1" x14ac:dyDescent="0.2">
      <c r="C35" s="26"/>
      <c r="D35" s="26"/>
      <c r="E35" s="26" t="s">
        <v>11</v>
      </c>
      <c r="F35" s="27"/>
      <c r="G35" s="26"/>
      <c r="H35" s="26"/>
      <c r="I35" s="27"/>
      <c r="J35" s="55"/>
    </row>
    <row r="36" spans="3:10" s="5" customFormat="1" ht="12.95" customHeight="1" x14ac:dyDescent="0.2">
      <c r="C36" s="26"/>
      <c r="D36" s="26"/>
      <c r="E36" s="26"/>
      <c r="F36" s="27"/>
      <c r="G36" s="26"/>
      <c r="H36" s="26"/>
      <c r="I36" s="27"/>
      <c r="J36" s="55"/>
    </row>
    <row r="37" spans="3:10" s="5" customFormat="1" ht="12.95" customHeight="1" x14ac:dyDescent="0.2">
      <c r="C37" s="28"/>
      <c r="D37" s="28"/>
      <c r="E37" s="28"/>
      <c r="F37" s="29"/>
      <c r="G37" s="28"/>
      <c r="H37" s="28"/>
      <c r="I37" s="29"/>
      <c r="J37" s="55"/>
    </row>
    <row r="38" spans="3:10" s="5" customFormat="1" ht="12.95" customHeight="1" x14ac:dyDescent="0.2">
      <c r="C38" s="24" t="s">
        <v>1</v>
      </c>
      <c r="D38" s="24" t="s">
        <v>16</v>
      </c>
      <c r="E38" s="24" t="s">
        <v>6</v>
      </c>
      <c r="F38" s="25">
        <f>4*160*1000</f>
        <v>640000</v>
      </c>
      <c r="G38" s="24"/>
      <c r="H38" s="24"/>
      <c r="I38" s="25">
        <f>+F38</f>
        <v>640000</v>
      </c>
      <c r="J38" s="54"/>
    </row>
    <row r="39" spans="3:10" s="5" customFormat="1" ht="12.95" customHeight="1" x14ac:dyDescent="0.2">
      <c r="C39" s="26"/>
      <c r="D39" s="26" t="s">
        <v>18</v>
      </c>
      <c r="E39" s="26" t="s">
        <v>9</v>
      </c>
      <c r="F39" s="27"/>
      <c r="G39" s="26"/>
      <c r="H39" s="26"/>
      <c r="I39" s="27"/>
      <c r="J39" s="55"/>
    </row>
    <row r="40" spans="3:10" s="5" customFormat="1" ht="12.95" customHeight="1" x14ac:dyDescent="0.2">
      <c r="C40" s="26"/>
      <c r="D40" s="26"/>
      <c r="E40" s="26" t="s">
        <v>10</v>
      </c>
      <c r="F40" s="27"/>
      <c r="G40" s="26"/>
      <c r="H40" s="26"/>
      <c r="I40" s="27"/>
      <c r="J40" s="55"/>
    </row>
    <row r="41" spans="3:10" s="5" customFormat="1" ht="12.95" customHeight="1" x14ac:dyDescent="0.2">
      <c r="C41" s="26"/>
      <c r="D41" s="26"/>
      <c r="E41" s="26" t="s">
        <v>12</v>
      </c>
      <c r="F41" s="27"/>
      <c r="G41" s="26"/>
      <c r="H41" s="26"/>
      <c r="I41" s="27"/>
      <c r="J41" s="55"/>
    </row>
    <row r="42" spans="3:10" s="5" customFormat="1" ht="12.95" customHeight="1" x14ac:dyDescent="0.2">
      <c r="C42" s="26"/>
      <c r="D42" s="26"/>
      <c r="E42" s="26"/>
      <c r="F42" s="27"/>
      <c r="G42" s="26"/>
      <c r="H42" s="26"/>
      <c r="I42" s="27"/>
      <c r="J42" s="55"/>
    </row>
    <row r="43" spans="3:10" s="5" customFormat="1" ht="12.95" customHeight="1" x14ac:dyDescent="0.2">
      <c r="C43" s="28"/>
      <c r="D43" s="28"/>
      <c r="E43" s="28"/>
      <c r="F43" s="29"/>
      <c r="G43" s="28"/>
      <c r="H43" s="28"/>
      <c r="I43" s="29"/>
      <c r="J43" s="55"/>
    </row>
    <row r="44" spans="3:10" s="5" customFormat="1" ht="12.95" customHeight="1" x14ac:dyDescent="0.2">
      <c r="C44" s="24" t="s">
        <v>1</v>
      </c>
      <c r="D44" s="24" t="s">
        <v>16</v>
      </c>
      <c r="E44" s="24" t="s">
        <v>6</v>
      </c>
      <c r="F44" s="25">
        <f>4*160*1000</f>
        <v>640000</v>
      </c>
      <c r="G44" s="24"/>
      <c r="H44" s="24"/>
      <c r="I44" s="25">
        <f>+F44</f>
        <v>640000</v>
      </c>
      <c r="J44" s="54"/>
    </row>
    <row r="45" spans="3:10" s="5" customFormat="1" ht="12.95" customHeight="1" x14ac:dyDescent="0.2">
      <c r="C45" s="26"/>
      <c r="D45" s="26" t="s">
        <v>18</v>
      </c>
      <c r="E45" s="26" t="s">
        <v>9</v>
      </c>
      <c r="F45" s="27"/>
      <c r="G45" s="26"/>
      <c r="H45" s="26"/>
      <c r="I45" s="27"/>
      <c r="J45" s="55"/>
    </row>
    <row r="46" spans="3:10" s="5" customFormat="1" ht="12.95" customHeight="1" x14ac:dyDescent="0.2">
      <c r="C46" s="26"/>
      <c r="D46" s="26"/>
      <c r="E46" s="26" t="s">
        <v>10</v>
      </c>
      <c r="F46" s="27"/>
      <c r="G46" s="26"/>
      <c r="H46" s="26"/>
      <c r="I46" s="27"/>
      <c r="J46" s="55"/>
    </row>
    <row r="47" spans="3:10" s="5" customFormat="1" ht="12.95" customHeight="1" x14ac:dyDescent="0.2">
      <c r="C47" s="26"/>
      <c r="D47" s="26"/>
      <c r="E47" s="26" t="s">
        <v>12</v>
      </c>
      <c r="F47" s="27"/>
      <c r="G47" s="26"/>
      <c r="H47" s="26"/>
      <c r="I47" s="27"/>
      <c r="J47" s="55"/>
    </row>
    <row r="48" spans="3:10" s="5" customFormat="1" ht="12.95" customHeight="1" x14ac:dyDescent="0.2">
      <c r="C48" s="26"/>
      <c r="D48" s="26"/>
      <c r="E48" s="26"/>
      <c r="F48" s="27"/>
      <c r="G48" s="26"/>
      <c r="H48" s="26"/>
      <c r="I48" s="27"/>
      <c r="J48" s="55"/>
    </row>
    <row r="49" spans="3:10" s="5" customFormat="1" ht="12.95" customHeight="1" x14ac:dyDescent="0.2">
      <c r="C49" s="28"/>
      <c r="D49" s="28"/>
      <c r="E49" s="28"/>
      <c r="F49" s="29"/>
      <c r="G49" s="28"/>
      <c r="H49" s="28"/>
      <c r="I49" s="29"/>
      <c r="J49" s="55"/>
    </row>
    <row r="50" spans="3:10" s="5" customFormat="1" ht="12.95" customHeight="1" x14ac:dyDescent="0.2">
      <c r="C50" s="30" t="s">
        <v>2</v>
      </c>
      <c r="D50" s="30" t="s">
        <v>13</v>
      </c>
      <c r="E50" s="30" t="s">
        <v>6</v>
      </c>
      <c r="F50" s="31">
        <f>5*160*1000</f>
        <v>800000</v>
      </c>
      <c r="G50" s="30"/>
      <c r="H50" s="30"/>
      <c r="I50" s="31">
        <f>+F50</f>
        <v>800000</v>
      </c>
      <c r="J50" s="56"/>
    </row>
    <row r="51" spans="3:10" s="5" customFormat="1" ht="12.95" customHeight="1" x14ac:dyDescent="0.2">
      <c r="C51" s="32"/>
      <c r="D51" s="32" t="s">
        <v>18</v>
      </c>
      <c r="E51" s="32" t="s">
        <v>9</v>
      </c>
      <c r="F51" s="33"/>
      <c r="G51" s="32"/>
      <c r="H51" s="32"/>
      <c r="I51" s="33"/>
      <c r="J51" s="57"/>
    </row>
    <row r="52" spans="3:10" s="5" customFormat="1" ht="12.95" customHeight="1" x14ac:dyDescent="0.2">
      <c r="C52" s="32"/>
      <c r="D52" s="32"/>
      <c r="E52" s="32" t="s">
        <v>10</v>
      </c>
      <c r="F52" s="33"/>
      <c r="G52" s="32"/>
      <c r="H52" s="32"/>
      <c r="I52" s="33"/>
      <c r="J52" s="57"/>
    </row>
    <row r="53" spans="3:10" s="5" customFormat="1" ht="12.95" customHeight="1" x14ac:dyDescent="0.2">
      <c r="C53" s="32"/>
      <c r="D53" s="32"/>
      <c r="E53" s="32" t="s">
        <v>12</v>
      </c>
      <c r="F53" s="33"/>
      <c r="G53" s="32"/>
      <c r="H53" s="32"/>
      <c r="I53" s="33"/>
      <c r="J53" s="57"/>
    </row>
    <row r="54" spans="3:10" s="5" customFormat="1" ht="12.95" customHeight="1" x14ac:dyDescent="0.2">
      <c r="C54" s="32"/>
      <c r="D54" s="32"/>
      <c r="E54" s="32"/>
      <c r="F54" s="33"/>
      <c r="G54" s="32"/>
      <c r="H54" s="32"/>
      <c r="I54" s="33"/>
      <c r="J54" s="57"/>
    </row>
    <row r="55" spans="3:10" s="5" customFormat="1" ht="12.95" customHeight="1" x14ac:dyDescent="0.2">
      <c r="C55" s="34"/>
      <c r="D55" s="34"/>
      <c r="E55" s="34"/>
      <c r="F55" s="35"/>
      <c r="G55" s="34"/>
      <c r="H55" s="34"/>
      <c r="I55" s="35"/>
      <c r="J55" s="57"/>
    </row>
    <row r="56" spans="3:10" s="5" customFormat="1" ht="12.95" customHeight="1" x14ac:dyDescent="0.2">
      <c r="C56" s="30" t="s">
        <v>2</v>
      </c>
      <c r="D56" s="30" t="s">
        <v>13</v>
      </c>
      <c r="E56" s="30" t="s">
        <v>6</v>
      </c>
      <c r="F56" s="31">
        <f>1*160*1000</f>
        <v>160000</v>
      </c>
      <c r="G56" s="30"/>
      <c r="H56" s="30"/>
      <c r="I56" s="31">
        <f>+F56</f>
        <v>160000</v>
      </c>
      <c r="J56" s="56"/>
    </row>
    <row r="57" spans="3:10" s="5" customFormat="1" ht="12.95" customHeight="1" x14ac:dyDescent="0.2">
      <c r="C57" s="32" t="s">
        <v>3</v>
      </c>
      <c r="D57" s="32" t="s">
        <v>14</v>
      </c>
      <c r="E57" s="32" t="s">
        <v>9</v>
      </c>
      <c r="F57" s="36">
        <f>20*12*1000</f>
        <v>240000</v>
      </c>
      <c r="G57" s="32"/>
      <c r="H57" s="32"/>
      <c r="I57" s="36">
        <f>+F57</f>
        <v>240000</v>
      </c>
      <c r="J57" s="56"/>
    </row>
    <row r="58" spans="3:10" s="5" customFormat="1" ht="12.95" customHeight="1" x14ac:dyDescent="0.2">
      <c r="C58" s="32"/>
      <c r="D58" s="32" t="s">
        <v>18</v>
      </c>
      <c r="E58" s="32" t="s">
        <v>10</v>
      </c>
      <c r="F58" s="33"/>
      <c r="G58" s="32"/>
      <c r="H58" s="32"/>
      <c r="I58" s="33"/>
      <c r="J58" s="57"/>
    </row>
    <row r="59" spans="3:10" s="5" customFormat="1" ht="12.95" customHeight="1" x14ac:dyDescent="0.2">
      <c r="C59" s="32"/>
      <c r="D59" s="32"/>
      <c r="E59" s="32" t="s">
        <v>12</v>
      </c>
      <c r="F59" s="33"/>
      <c r="G59" s="32"/>
      <c r="H59" s="32"/>
      <c r="I59" s="33"/>
      <c r="J59" s="57"/>
    </row>
    <row r="60" spans="3:10" s="5" customFormat="1" ht="12.95" customHeight="1" x14ac:dyDescent="0.2">
      <c r="C60" s="32"/>
      <c r="D60" s="32"/>
      <c r="E60" s="32"/>
      <c r="F60" s="33"/>
      <c r="G60" s="32"/>
      <c r="H60" s="32"/>
      <c r="I60" s="33"/>
      <c r="J60" s="57"/>
    </row>
    <row r="61" spans="3:10" s="5" customFormat="1" ht="12.95" customHeight="1" x14ac:dyDescent="0.2">
      <c r="C61" s="34"/>
      <c r="D61" s="34"/>
      <c r="E61" s="34"/>
      <c r="F61" s="35"/>
      <c r="G61" s="34"/>
      <c r="H61" s="34"/>
      <c r="I61" s="35"/>
      <c r="J61" s="57"/>
    </row>
    <row r="62" spans="3:10" s="5" customFormat="1" ht="12.95" customHeight="1" x14ac:dyDescent="0.2">
      <c r="C62" s="37" t="s">
        <v>50</v>
      </c>
      <c r="D62" s="37" t="s">
        <v>57</v>
      </c>
      <c r="E62" s="37" t="s">
        <v>6</v>
      </c>
      <c r="F62" s="38">
        <v>39110</v>
      </c>
      <c r="G62" s="37"/>
      <c r="H62" s="37"/>
      <c r="I62" s="38">
        <f>+F62</f>
        <v>39110</v>
      </c>
      <c r="J62" s="58"/>
    </row>
    <row r="63" spans="3:10" s="5" customFormat="1" ht="12.95" customHeight="1" x14ac:dyDescent="0.2">
      <c r="C63" s="39" t="s">
        <v>51</v>
      </c>
      <c r="D63" s="39" t="s">
        <v>58</v>
      </c>
      <c r="E63" s="39" t="s">
        <v>65</v>
      </c>
      <c r="F63" s="40">
        <v>66190</v>
      </c>
      <c r="G63" s="39"/>
      <c r="H63" s="39"/>
      <c r="I63" s="40">
        <f>+F63</f>
        <v>66190</v>
      </c>
      <c r="J63" s="58"/>
    </row>
    <row r="64" spans="3:10" s="5" customFormat="1" ht="12.95" customHeight="1" x14ac:dyDescent="0.2">
      <c r="C64" s="39" t="s">
        <v>52</v>
      </c>
      <c r="D64" s="39" t="s">
        <v>59</v>
      </c>
      <c r="E64" s="39" t="s">
        <v>66</v>
      </c>
      <c r="F64" s="40">
        <v>383600</v>
      </c>
      <c r="G64" s="39"/>
      <c r="H64" s="39"/>
      <c r="I64" s="40">
        <f t="shared" ref="I64:I67" si="0">+F64</f>
        <v>383600</v>
      </c>
      <c r="J64" s="58"/>
    </row>
    <row r="65" spans="3:10" s="5" customFormat="1" ht="12.95" customHeight="1" x14ac:dyDescent="0.2">
      <c r="C65" s="39" t="s">
        <v>53</v>
      </c>
      <c r="D65" s="39" t="s">
        <v>60</v>
      </c>
      <c r="E65" s="39" t="s">
        <v>64</v>
      </c>
      <c r="F65" s="40">
        <v>42620</v>
      </c>
      <c r="G65" s="39"/>
      <c r="H65" s="39"/>
      <c r="I65" s="40">
        <f t="shared" si="0"/>
        <v>42620</v>
      </c>
      <c r="J65" s="58"/>
    </row>
    <row r="66" spans="3:10" s="5" customFormat="1" ht="12.95" customHeight="1" x14ac:dyDescent="0.2">
      <c r="C66" s="39" t="s">
        <v>54</v>
      </c>
      <c r="D66" s="39" t="s">
        <v>61</v>
      </c>
      <c r="E66" s="39" t="s">
        <v>56</v>
      </c>
      <c r="F66" s="40">
        <v>316750</v>
      </c>
      <c r="G66" s="39"/>
      <c r="H66" s="39"/>
      <c r="I66" s="40">
        <f t="shared" si="0"/>
        <v>316750</v>
      </c>
      <c r="J66" s="58"/>
    </row>
    <row r="67" spans="3:10" s="5" customFormat="1" ht="12.95" customHeight="1" x14ac:dyDescent="0.2">
      <c r="C67" s="39" t="s">
        <v>55</v>
      </c>
      <c r="D67" s="39" t="s">
        <v>62</v>
      </c>
      <c r="E67" s="39" t="s">
        <v>56</v>
      </c>
      <c r="F67" s="40">
        <v>249339.99999999997</v>
      </c>
      <c r="G67" s="39"/>
      <c r="H67" s="39"/>
      <c r="I67" s="40">
        <f t="shared" si="0"/>
        <v>249339.99999999997</v>
      </c>
      <c r="J67" s="58"/>
    </row>
    <row r="68" spans="3:10" s="5" customFormat="1" ht="12.95" customHeight="1" x14ac:dyDescent="0.2">
      <c r="C68" s="39"/>
      <c r="D68" s="39" t="s">
        <v>63</v>
      </c>
      <c r="E68" s="39"/>
      <c r="F68" s="41"/>
      <c r="G68" s="39"/>
      <c r="H68" s="39"/>
      <c r="I68" s="41"/>
      <c r="J68" s="59"/>
    </row>
    <row r="69" spans="3:10" s="5" customFormat="1" ht="12.95" customHeight="1" x14ac:dyDescent="0.2">
      <c r="C69" s="42"/>
      <c r="D69" s="42"/>
      <c r="E69" s="42"/>
      <c r="F69" s="43"/>
      <c r="G69" s="42"/>
      <c r="H69" s="42"/>
      <c r="I69" s="43"/>
      <c r="J69" s="59"/>
    </row>
    <row r="70" spans="3:10" s="5" customFormat="1" ht="12.95" customHeight="1" x14ac:dyDescent="0.2">
      <c r="C70" s="44" t="s">
        <v>67</v>
      </c>
      <c r="D70" s="45" t="s">
        <v>68</v>
      </c>
      <c r="E70" s="45" t="s">
        <v>69</v>
      </c>
      <c r="F70" s="46">
        <v>2000000</v>
      </c>
      <c r="G70" s="45"/>
      <c r="H70" s="45"/>
      <c r="I70" s="46">
        <f>+F70</f>
        <v>2000000</v>
      </c>
      <c r="J70" s="60"/>
    </row>
    <row r="71" spans="3:10" s="5" customFormat="1" ht="12.95" customHeight="1" x14ac:dyDescent="0.2">
      <c r="C71" s="47"/>
      <c r="D71" s="47" t="s">
        <v>72</v>
      </c>
      <c r="E71" s="47" t="s">
        <v>75</v>
      </c>
      <c r="F71" s="48"/>
      <c r="G71" s="47"/>
      <c r="H71" s="47"/>
      <c r="I71" s="48"/>
      <c r="J71" s="60"/>
    </row>
    <row r="72" spans="3:10" s="5" customFormat="1" ht="12.95" customHeight="1" x14ac:dyDescent="0.2">
      <c r="C72" s="47"/>
      <c r="D72" s="47"/>
      <c r="E72" s="47" t="s">
        <v>70</v>
      </c>
      <c r="F72" s="49"/>
      <c r="G72" s="47"/>
      <c r="H72" s="47"/>
      <c r="I72" s="49"/>
      <c r="J72" s="61"/>
    </row>
    <row r="73" spans="3:10" s="5" customFormat="1" ht="12.95" customHeight="1" x14ac:dyDescent="0.2">
      <c r="C73" s="47"/>
      <c r="D73" s="47"/>
      <c r="E73" s="47" t="s">
        <v>71</v>
      </c>
      <c r="F73" s="49"/>
      <c r="G73" s="47"/>
      <c r="H73" s="47"/>
      <c r="I73" s="49"/>
      <c r="J73" s="61"/>
    </row>
    <row r="74" spans="3:10" s="5" customFormat="1" ht="12.95" customHeight="1" x14ac:dyDescent="0.2">
      <c r="C74" s="47"/>
      <c r="D74" s="47"/>
      <c r="E74" s="47"/>
      <c r="F74" s="49"/>
      <c r="G74" s="47"/>
      <c r="H74" s="47"/>
      <c r="I74" s="49"/>
      <c r="J74" s="61"/>
    </row>
    <row r="75" spans="3:10" s="5" customFormat="1" ht="12.95" customHeight="1" x14ac:dyDescent="0.2">
      <c r="C75" s="50"/>
      <c r="D75" s="50"/>
      <c r="E75" s="50"/>
      <c r="F75" s="51"/>
      <c r="G75" s="50"/>
      <c r="H75" s="50"/>
      <c r="I75" s="51"/>
      <c r="J75" s="61"/>
    </row>
    <row r="76" spans="3:10" s="5" customFormat="1" ht="12.95" customHeight="1" x14ac:dyDescent="0.2">
      <c r="C76" s="44" t="s">
        <v>67</v>
      </c>
      <c r="D76" s="45" t="s">
        <v>68</v>
      </c>
      <c r="E76" s="45" t="s">
        <v>69</v>
      </c>
      <c r="F76" s="46">
        <v>2000000</v>
      </c>
      <c r="G76" s="45"/>
      <c r="H76" s="45"/>
      <c r="I76" s="46">
        <f>+F76</f>
        <v>2000000</v>
      </c>
      <c r="J76" s="60"/>
    </row>
    <row r="77" spans="3:10" s="5" customFormat="1" ht="12.95" customHeight="1" x14ac:dyDescent="0.2">
      <c r="C77" s="47"/>
      <c r="D77" s="47" t="s">
        <v>72</v>
      </c>
      <c r="E77" s="47" t="s">
        <v>75</v>
      </c>
      <c r="F77" s="48"/>
      <c r="G77" s="47"/>
      <c r="H77" s="47"/>
      <c r="I77" s="48"/>
      <c r="J77" s="60"/>
    </row>
    <row r="78" spans="3:10" s="5" customFormat="1" ht="12.95" customHeight="1" x14ac:dyDescent="0.2">
      <c r="C78" s="47"/>
      <c r="D78" s="47"/>
      <c r="E78" s="47" t="s">
        <v>70</v>
      </c>
      <c r="F78" s="49"/>
      <c r="G78" s="47"/>
      <c r="H78" s="47"/>
      <c r="I78" s="49"/>
      <c r="J78" s="61"/>
    </row>
    <row r="79" spans="3:10" s="5" customFormat="1" ht="12.95" customHeight="1" x14ac:dyDescent="0.2">
      <c r="C79" s="47"/>
      <c r="D79" s="47"/>
      <c r="E79" s="47" t="s">
        <v>71</v>
      </c>
      <c r="F79" s="49"/>
      <c r="G79" s="47"/>
      <c r="H79" s="47"/>
      <c r="I79" s="49"/>
      <c r="J79" s="61"/>
    </row>
    <row r="80" spans="3:10" s="5" customFormat="1" ht="12.95" customHeight="1" x14ac:dyDescent="0.2">
      <c r="C80" s="47"/>
      <c r="D80" s="47"/>
      <c r="E80" s="47"/>
      <c r="F80" s="49"/>
      <c r="G80" s="47"/>
      <c r="H80" s="47"/>
      <c r="I80" s="49"/>
      <c r="J80" s="61"/>
    </row>
    <row r="81" spans="3:13" s="5" customFormat="1" ht="12.95" customHeight="1" x14ac:dyDescent="0.2">
      <c r="C81" s="50"/>
      <c r="D81" s="50"/>
      <c r="E81" s="50"/>
      <c r="F81" s="51"/>
      <c r="G81" s="50"/>
      <c r="H81" s="50"/>
      <c r="I81" s="51"/>
      <c r="J81" s="61"/>
    </row>
    <row r="82" spans="3:13" s="5" customFormat="1" ht="12.95" customHeight="1" x14ac:dyDescent="0.2">
      <c r="C82" s="44" t="s">
        <v>67</v>
      </c>
      <c r="D82" s="45" t="s">
        <v>68</v>
      </c>
      <c r="E82" s="45" t="s">
        <v>69</v>
      </c>
      <c r="F82" s="46">
        <v>500000</v>
      </c>
      <c r="G82" s="45"/>
      <c r="H82" s="45"/>
      <c r="I82" s="46">
        <f>+F82</f>
        <v>500000</v>
      </c>
      <c r="J82" s="60"/>
    </row>
    <row r="83" spans="3:13" s="5" customFormat="1" ht="12.95" customHeight="1" x14ac:dyDescent="0.2">
      <c r="C83" s="47"/>
      <c r="D83" s="47" t="s">
        <v>73</v>
      </c>
      <c r="E83" s="47" t="s">
        <v>74</v>
      </c>
      <c r="F83" s="48"/>
      <c r="G83" s="47"/>
      <c r="H83" s="47"/>
      <c r="I83" s="48"/>
      <c r="J83" s="60"/>
    </row>
    <row r="84" spans="3:13" s="5" customFormat="1" ht="12.95" customHeight="1" x14ac:dyDescent="0.2">
      <c r="C84" s="47"/>
      <c r="D84" s="47"/>
      <c r="E84" s="47" t="s">
        <v>76</v>
      </c>
      <c r="F84" s="49"/>
      <c r="G84" s="47"/>
      <c r="H84" s="47"/>
      <c r="I84" s="49"/>
      <c r="J84" s="61"/>
    </row>
    <row r="85" spans="3:13" s="5" customFormat="1" ht="12.95" customHeight="1" x14ac:dyDescent="0.2">
      <c r="C85" s="47"/>
      <c r="D85" s="47"/>
      <c r="E85" s="47" t="s">
        <v>77</v>
      </c>
      <c r="F85" s="49"/>
      <c r="G85" s="47"/>
      <c r="H85" s="47"/>
      <c r="I85" s="49"/>
      <c r="J85" s="61"/>
    </row>
    <row r="86" spans="3:13" s="5" customFormat="1" ht="12.95" customHeight="1" x14ac:dyDescent="0.2">
      <c r="C86" s="47"/>
      <c r="D86" s="47"/>
      <c r="E86" s="47"/>
      <c r="F86" s="49"/>
      <c r="G86" s="47"/>
      <c r="H86" s="47"/>
      <c r="I86" s="49"/>
      <c r="J86" s="61"/>
    </row>
    <row r="87" spans="3:13" s="5" customFormat="1" ht="12.95" customHeight="1" x14ac:dyDescent="0.2">
      <c r="C87" s="50"/>
      <c r="D87" s="50"/>
      <c r="E87" s="50"/>
      <c r="F87" s="51"/>
      <c r="G87" s="50"/>
      <c r="H87" s="50"/>
      <c r="I87" s="51"/>
      <c r="J87" s="61"/>
    </row>
    <row r="88" spans="3:13" s="5" customFormat="1" ht="12.95" customHeight="1" x14ac:dyDescent="0.2">
      <c r="C88" s="52" t="s">
        <v>85</v>
      </c>
      <c r="D88" s="30" t="s">
        <v>90</v>
      </c>
      <c r="E88" s="30" t="s">
        <v>6</v>
      </c>
      <c r="F88" s="31">
        <f>221.04*1000</f>
        <v>221040</v>
      </c>
      <c r="G88" s="30"/>
      <c r="H88" s="30"/>
      <c r="I88" s="31">
        <f>+F88</f>
        <v>221040</v>
      </c>
      <c r="J88" s="56"/>
    </row>
    <row r="89" spans="3:13" s="5" customFormat="1" ht="12.95" customHeight="1" x14ac:dyDescent="0.2">
      <c r="C89" s="32" t="s">
        <v>86</v>
      </c>
      <c r="D89" s="32" t="s">
        <v>91</v>
      </c>
      <c r="E89" s="32" t="s">
        <v>82</v>
      </c>
      <c r="F89" s="36">
        <f>1120*1000</f>
        <v>1120000</v>
      </c>
      <c r="G89" s="32"/>
      <c r="H89" s="32"/>
      <c r="I89" s="36">
        <f t="shared" ref="I89:I90" si="1">+F89</f>
        <v>1120000</v>
      </c>
      <c r="J89" s="56"/>
      <c r="M89" s="12"/>
    </row>
    <row r="90" spans="3:13" s="5" customFormat="1" ht="12.95" customHeight="1" x14ac:dyDescent="0.2">
      <c r="C90" s="32" t="s">
        <v>87</v>
      </c>
      <c r="D90" s="32" t="s">
        <v>92</v>
      </c>
      <c r="E90" s="32" t="s">
        <v>83</v>
      </c>
      <c r="F90" s="33">
        <f>682.5*1000</f>
        <v>682500</v>
      </c>
      <c r="G90" s="32"/>
      <c r="H90" s="32"/>
      <c r="I90" s="33">
        <f t="shared" si="1"/>
        <v>682500</v>
      </c>
      <c r="J90" s="57"/>
      <c r="M90" s="12"/>
    </row>
    <row r="91" spans="3:13" s="5" customFormat="1" ht="12.95" customHeight="1" x14ac:dyDescent="0.2">
      <c r="C91" s="32"/>
      <c r="D91" s="32" t="s">
        <v>166</v>
      </c>
      <c r="E91" s="32" t="s">
        <v>84</v>
      </c>
      <c r="F91" s="33"/>
      <c r="G91" s="32"/>
      <c r="H91" s="32"/>
      <c r="I91" s="33"/>
      <c r="J91" s="57"/>
      <c r="M91" s="12"/>
    </row>
    <row r="92" spans="3:13" s="5" customFormat="1" ht="12.95" customHeight="1" x14ac:dyDescent="0.2">
      <c r="C92" s="32"/>
      <c r="D92" s="32"/>
      <c r="E92" s="32"/>
      <c r="F92" s="33"/>
      <c r="G92" s="32"/>
      <c r="H92" s="32"/>
      <c r="I92" s="33"/>
      <c r="J92" s="57"/>
    </row>
    <row r="93" spans="3:13" s="5" customFormat="1" ht="12.95" customHeight="1" x14ac:dyDescent="0.2">
      <c r="C93" s="34"/>
      <c r="D93" s="34"/>
      <c r="E93" s="34"/>
      <c r="F93" s="35"/>
      <c r="G93" s="34"/>
      <c r="H93" s="34"/>
      <c r="I93" s="35"/>
      <c r="J93" s="57"/>
    </row>
    <row r="94" spans="3:13" s="5" customFormat="1" ht="12.95" customHeight="1" x14ac:dyDescent="0.2">
      <c r="C94" s="67" t="s">
        <v>95</v>
      </c>
      <c r="D94" s="68" t="s">
        <v>141</v>
      </c>
      <c r="E94" s="68" t="s">
        <v>6</v>
      </c>
      <c r="F94" s="64">
        <v>246000</v>
      </c>
      <c r="G94" s="68"/>
      <c r="H94" s="68"/>
      <c r="I94" s="64">
        <f>+F94</f>
        <v>246000</v>
      </c>
      <c r="J94" s="62"/>
    </row>
    <row r="95" spans="3:13" s="5" customFormat="1" ht="12.95" customHeight="1" x14ac:dyDescent="0.2">
      <c r="C95" s="69" t="s">
        <v>98</v>
      </c>
      <c r="D95" s="70" t="s">
        <v>142</v>
      </c>
      <c r="E95" s="70" t="s">
        <v>65</v>
      </c>
      <c r="F95" s="65">
        <v>46850</v>
      </c>
      <c r="G95" s="70"/>
      <c r="H95" s="70"/>
      <c r="I95" s="65">
        <f t="shared" ref="I95:I103" si="2">+F95</f>
        <v>46850</v>
      </c>
      <c r="J95" s="62"/>
    </row>
    <row r="96" spans="3:13" s="5" customFormat="1" ht="12.95" customHeight="1" x14ac:dyDescent="0.2">
      <c r="C96" s="69" t="s">
        <v>100</v>
      </c>
      <c r="D96" s="70" t="s">
        <v>143</v>
      </c>
      <c r="E96" s="70" t="s">
        <v>66</v>
      </c>
      <c r="F96" s="66">
        <v>169000</v>
      </c>
      <c r="G96" s="70"/>
      <c r="H96" s="70"/>
      <c r="I96" s="66">
        <f t="shared" si="2"/>
        <v>169000</v>
      </c>
      <c r="J96" s="63"/>
    </row>
    <row r="97" spans="3:10" s="5" customFormat="1" ht="12.95" customHeight="1" x14ac:dyDescent="0.2">
      <c r="C97" s="69" t="s">
        <v>102</v>
      </c>
      <c r="D97" s="70" t="s">
        <v>144</v>
      </c>
      <c r="E97" s="70" t="s">
        <v>139</v>
      </c>
      <c r="F97" s="66">
        <v>63500</v>
      </c>
      <c r="G97" s="70"/>
      <c r="H97" s="70"/>
      <c r="I97" s="66">
        <f t="shared" si="2"/>
        <v>63500</v>
      </c>
      <c r="J97" s="63"/>
    </row>
    <row r="98" spans="3:10" s="5" customFormat="1" ht="12.95" customHeight="1" x14ac:dyDescent="0.2">
      <c r="C98" s="69">
        <v>3044131</v>
      </c>
      <c r="D98" s="70" t="s">
        <v>145</v>
      </c>
      <c r="E98" s="70"/>
      <c r="F98" s="66">
        <v>123999.99999999999</v>
      </c>
      <c r="G98" s="70"/>
      <c r="H98" s="70"/>
      <c r="I98" s="66">
        <f t="shared" si="2"/>
        <v>123999.99999999999</v>
      </c>
      <c r="J98" s="63"/>
    </row>
    <row r="99" spans="3:10" s="5" customFormat="1" ht="12.95" customHeight="1" x14ac:dyDescent="0.2">
      <c r="C99" s="69">
        <v>3030255</v>
      </c>
      <c r="D99" s="70" t="s">
        <v>146</v>
      </c>
      <c r="E99" s="70"/>
      <c r="F99" s="66">
        <v>87500</v>
      </c>
      <c r="G99" s="70"/>
      <c r="H99" s="70"/>
      <c r="I99" s="66">
        <f t="shared" si="2"/>
        <v>87500</v>
      </c>
      <c r="J99" s="63"/>
    </row>
    <row r="100" spans="3:10" s="5" customFormat="1" ht="12.95" customHeight="1" x14ac:dyDescent="0.2">
      <c r="C100" s="71" t="s">
        <v>106</v>
      </c>
      <c r="D100" s="72" t="s">
        <v>147</v>
      </c>
      <c r="E100" s="72"/>
      <c r="F100" s="73">
        <v>58400</v>
      </c>
      <c r="G100" s="72"/>
      <c r="H100" s="72"/>
      <c r="I100" s="73">
        <f t="shared" si="2"/>
        <v>58400</v>
      </c>
      <c r="J100" s="63"/>
    </row>
    <row r="101" spans="3:10" s="5" customFormat="1" ht="12.95" customHeight="1" x14ac:dyDescent="0.2">
      <c r="C101" s="71" t="s">
        <v>108</v>
      </c>
      <c r="D101" s="72" t="s">
        <v>148</v>
      </c>
      <c r="E101" s="72"/>
      <c r="F101" s="73">
        <v>64000</v>
      </c>
      <c r="G101" s="72"/>
      <c r="H101" s="72"/>
      <c r="I101" s="73">
        <f t="shared" si="2"/>
        <v>64000</v>
      </c>
      <c r="J101" s="63"/>
    </row>
    <row r="102" spans="3:10" s="5" customFormat="1" ht="12.95" customHeight="1" x14ac:dyDescent="0.2">
      <c r="C102" s="71" t="s">
        <v>110</v>
      </c>
      <c r="D102" s="72" t="s">
        <v>149</v>
      </c>
      <c r="E102" s="72"/>
      <c r="F102" s="73">
        <v>31750</v>
      </c>
      <c r="G102" s="72"/>
      <c r="H102" s="72"/>
      <c r="I102" s="73">
        <f t="shared" si="2"/>
        <v>31750</v>
      </c>
      <c r="J102" s="63"/>
    </row>
    <row r="103" spans="3:10" s="5" customFormat="1" ht="12.95" customHeight="1" x14ac:dyDescent="0.2">
      <c r="C103" s="71" t="s">
        <v>112</v>
      </c>
      <c r="D103" s="72" t="s">
        <v>150</v>
      </c>
      <c r="E103" s="72"/>
      <c r="F103" s="73">
        <v>42099.999999999993</v>
      </c>
      <c r="G103" s="72"/>
      <c r="H103" s="72"/>
      <c r="I103" s="73">
        <f t="shared" si="2"/>
        <v>42099.999999999993</v>
      </c>
      <c r="J103" s="63"/>
    </row>
    <row r="104" spans="3:10" x14ac:dyDescent="0.2">
      <c r="C104" s="74" t="s">
        <v>86</v>
      </c>
      <c r="D104" s="72" t="s">
        <v>91</v>
      </c>
      <c r="E104" s="72"/>
      <c r="F104" s="75">
        <v>2021000</v>
      </c>
      <c r="G104" s="72"/>
      <c r="H104" s="72"/>
      <c r="I104" s="75">
        <f>+F104</f>
        <v>2021000</v>
      </c>
      <c r="J104" s="62"/>
    </row>
    <row r="105" spans="3:10" s="5" customFormat="1" ht="12.95" customHeight="1" x14ac:dyDescent="0.2">
      <c r="C105" s="72"/>
      <c r="D105" s="72" t="s">
        <v>151</v>
      </c>
      <c r="E105" s="72"/>
      <c r="F105" s="73"/>
      <c r="G105" s="72"/>
      <c r="H105" s="72"/>
      <c r="I105" s="73"/>
      <c r="J105" s="63"/>
    </row>
    <row r="106" spans="3:10" s="5" customFormat="1" ht="12.95" customHeight="1" x14ac:dyDescent="0.2">
      <c r="C106" s="76"/>
      <c r="D106" s="76"/>
      <c r="E106" s="76"/>
      <c r="F106" s="77"/>
      <c r="G106" s="76"/>
      <c r="H106" s="76"/>
      <c r="I106" s="77"/>
      <c r="J106" s="63"/>
    </row>
    <row r="107" spans="3:10" s="5" customFormat="1" ht="12.95" customHeight="1" x14ac:dyDescent="0.2">
      <c r="C107" s="78" t="s">
        <v>114</v>
      </c>
      <c r="D107" s="79" t="s">
        <v>152</v>
      </c>
      <c r="E107" s="79" t="s">
        <v>6</v>
      </c>
      <c r="F107" s="80">
        <v>115399.99999999999</v>
      </c>
      <c r="G107" s="79"/>
      <c r="H107" s="79"/>
      <c r="I107" s="80">
        <f>+F107</f>
        <v>115399.99999999999</v>
      </c>
      <c r="J107" s="62"/>
    </row>
    <row r="108" spans="3:10" s="5" customFormat="1" ht="12.95" customHeight="1" x14ac:dyDescent="0.2">
      <c r="C108" s="81" t="s">
        <v>116</v>
      </c>
      <c r="D108" s="82" t="s">
        <v>153</v>
      </c>
      <c r="E108" s="82" t="s">
        <v>9</v>
      </c>
      <c r="F108" s="83">
        <v>62599.999999999993</v>
      </c>
      <c r="G108" s="82"/>
      <c r="H108" s="82"/>
      <c r="I108" s="83">
        <f t="shared" ref="I108:I109" si="3">+F108</f>
        <v>62599.999999999993</v>
      </c>
      <c r="J108" s="62"/>
    </row>
    <row r="109" spans="3:10" s="5" customFormat="1" ht="12.95" customHeight="1" x14ac:dyDescent="0.2">
      <c r="C109" s="81" t="s">
        <v>118</v>
      </c>
      <c r="D109" s="82" t="s">
        <v>154</v>
      </c>
      <c r="E109" s="82" t="s">
        <v>10</v>
      </c>
      <c r="F109" s="84">
        <v>206400</v>
      </c>
      <c r="G109" s="82"/>
      <c r="H109" s="82"/>
      <c r="I109" s="84">
        <f t="shared" si="3"/>
        <v>206400</v>
      </c>
      <c r="J109" s="63"/>
    </row>
    <row r="110" spans="3:10" s="5" customFormat="1" ht="12.95" customHeight="1" x14ac:dyDescent="0.2">
      <c r="C110" s="81"/>
      <c r="D110" s="82" t="s">
        <v>155</v>
      </c>
      <c r="E110" s="82" t="s">
        <v>162</v>
      </c>
      <c r="F110" s="84"/>
      <c r="G110" s="82"/>
      <c r="H110" s="82"/>
      <c r="I110" s="84"/>
      <c r="J110" s="63"/>
    </row>
    <row r="111" spans="3:10" s="5" customFormat="1" ht="12.95" customHeight="1" x14ac:dyDescent="0.2">
      <c r="C111" s="85"/>
      <c r="D111" s="86"/>
      <c r="E111" s="86"/>
      <c r="F111" s="87"/>
      <c r="G111" s="86"/>
      <c r="H111" s="86"/>
      <c r="I111" s="87"/>
      <c r="J111" s="63"/>
    </row>
    <row r="112" spans="3:10" x14ac:dyDescent="0.2">
      <c r="C112" s="11" t="s">
        <v>121</v>
      </c>
      <c r="D112" s="1" t="s">
        <v>156</v>
      </c>
      <c r="E112" s="1" t="s">
        <v>6</v>
      </c>
      <c r="F112" s="7">
        <v>27570</v>
      </c>
      <c r="G112" s="1"/>
      <c r="H112" s="1"/>
      <c r="I112" s="7">
        <f>+F112</f>
        <v>27570</v>
      </c>
      <c r="J112" s="62"/>
    </row>
    <row r="113" spans="3:10" x14ac:dyDescent="0.2">
      <c r="C113" s="2"/>
      <c r="D113" s="2" t="s">
        <v>157</v>
      </c>
      <c r="E113" s="2" t="s">
        <v>82</v>
      </c>
      <c r="F113" s="10"/>
      <c r="G113" s="2"/>
      <c r="H113" s="2"/>
      <c r="I113" s="10"/>
      <c r="J113" s="62"/>
    </row>
    <row r="114" spans="3:10" x14ac:dyDescent="0.2">
      <c r="C114" s="2"/>
      <c r="D114" s="2"/>
      <c r="E114" s="2" t="s">
        <v>83</v>
      </c>
      <c r="F114" s="8"/>
      <c r="G114" s="2"/>
      <c r="H114" s="2"/>
      <c r="I114" s="8"/>
      <c r="J114" s="63"/>
    </row>
    <row r="115" spans="3:10" x14ac:dyDescent="0.2">
      <c r="C115" s="2"/>
      <c r="D115" s="2"/>
      <c r="E115" s="2" t="s">
        <v>163</v>
      </c>
      <c r="F115" s="8"/>
      <c r="G115" s="2"/>
      <c r="H115" s="2"/>
      <c r="I115" s="8"/>
      <c r="J115" s="63"/>
    </row>
    <row r="116" spans="3:10" x14ac:dyDescent="0.2">
      <c r="C116" s="2"/>
      <c r="D116" s="2"/>
      <c r="E116" s="2"/>
      <c r="F116" s="8"/>
      <c r="G116" s="2"/>
      <c r="H116" s="2"/>
      <c r="I116" s="8"/>
      <c r="J116" s="63"/>
    </row>
    <row r="117" spans="3:10" x14ac:dyDescent="0.2">
      <c r="C117" s="3"/>
      <c r="D117" s="3"/>
      <c r="E117" s="3"/>
      <c r="F117" s="9"/>
      <c r="G117" s="3"/>
      <c r="H117" s="3"/>
      <c r="I117" s="9"/>
      <c r="J117" s="63"/>
    </row>
    <row r="118" spans="3:10" x14ac:dyDescent="0.2">
      <c r="C118" s="88" t="s">
        <v>124</v>
      </c>
      <c r="D118" s="89" t="s">
        <v>158</v>
      </c>
      <c r="E118" s="89" t="s">
        <v>6</v>
      </c>
      <c r="F118" s="90">
        <v>614600</v>
      </c>
      <c r="G118" s="89"/>
      <c r="H118" s="89"/>
      <c r="I118" s="90">
        <f>+F118</f>
        <v>614600</v>
      </c>
      <c r="J118" s="62"/>
    </row>
    <row r="119" spans="3:10" x14ac:dyDescent="0.2">
      <c r="C119" s="91" t="s">
        <v>127</v>
      </c>
      <c r="D119" s="92" t="s">
        <v>159</v>
      </c>
      <c r="E119" s="92" t="s">
        <v>9</v>
      </c>
      <c r="F119" s="93">
        <v>198400</v>
      </c>
      <c r="G119" s="92"/>
      <c r="H119" s="92"/>
      <c r="I119" s="94">
        <f t="shared" ref="I119:I121" si="4">+F119</f>
        <v>198400</v>
      </c>
      <c r="J119" s="63"/>
    </row>
    <row r="120" spans="3:10" x14ac:dyDescent="0.2">
      <c r="C120" s="91">
        <v>1047419</v>
      </c>
      <c r="D120" s="92" t="s">
        <v>160</v>
      </c>
      <c r="E120" s="92" t="s">
        <v>10</v>
      </c>
      <c r="F120" s="94">
        <v>156400</v>
      </c>
      <c r="G120" s="92"/>
      <c r="H120" s="92"/>
      <c r="I120" s="94">
        <f t="shared" si="4"/>
        <v>156400</v>
      </c>
      <c r="J120" s="63"/>
    </row>
    <row r="121" spans="3:10" x14ac:dyDescent="0.2">
      <c r="C121" s="91" t="s">
        <v>130</v>
      </c>
      <c r="D121" s="92" t="s">
        <v>161</v>
      </c>
      <c r="E121" s="92" t="s">
        <v>165</v>
      </c>
      <c r="F121" s="94">
        <v>5729.9999999999991</v>
      </c>
      <c r="G121" s="92"/>
      <c r="H121" s="92"/>
      <c r="I121" s="94">
        <f t="shared" si="4"/>
        <v>5729.9999999999991</v>
      </c>
      <c r="J121" s="63"/>
    </row>
    <row r="122" spans="3:10" x14ac:dyDescent="0.2">
      <c r="C122" s="92"/>
      <c r="D122" s="92" t="s">
        <v>164</v>
      </c>
      <c r="E122" s="92"/>
      <c r="F122" s="94"/>
      <c r="G122" s="92"/>
      <c r="H122" s="92"/>
      <c r="I122" s="94"/>
      <c r="J122" s="63"/>
    </row>
    <row r="123" spans="3:10" x14ac:dyDescent="0.2">
      <c r="C123" s="95"/>
      <c r="D123" s="95"/>
      <c r="E123" s="95"/>
      <c r="F123" s="96"/>
      <c r="G123" s="95"/>
      <c r="H123" s="95"/>
      <c r="I123" s="96"/>
      <c r="J123" s="63"/>
    </row>
  </sheetData>
  <pageMargins left="0.25" right="0.25" top="0.75" bottom="0.75" header="0.3" footer="0.3"/>
  <pageSetup scale="61" fitToHeight="0" orientation="portrait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BFE51-8B07-4045-8601-93E56AD07F89}"/>
</file>

<file path=customXml/itemProps2.xml><?xml version="1.0" encoding="utf-8"?>
<ds:datastoreItem xmlns:ds="http://schemas.openxmlformats.org/officeDocument/2006/customXml" ds:itemID="{E9D7B57D-F56D-4D88-B8B3-141DAE8A0E54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Sheet1 (2)</vt:lpstr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Carolina Cabrera</cp:lastModifiedBy>
  <dcterms:created xsi:type="dcterms:W3CDTF">2024-04-29T20:20:30Z</dcterms:created>
  <dcterms:modified xsi:type="dcterms:W3CDTF">2024-04-30T16:19:38Z</dcterms:modified>
</cp:coreProperties>
</file>