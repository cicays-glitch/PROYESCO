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aCabrera\OneDrive - RSM Chile SPA\CCABRERA\EMPRESAS\11 PROYESCO\Guias\"/>
    </mc:Choice>
  </mc:AlternateContent>
  <xr:revisionPtr revIDLastSave="0" documentId="13_ncr:1_{EA6A579C-4CEE-4E0E-A781-AD4CB601D2B2}" xr6:coauthVersionLast="47" xr6:coauthVersionMax="47" xr10:uidLastSave="{00000000-0000-0000-0000-000000000000}"/>
  <bookViews>
    <workbookView xWindow="28680" yWindow="1245" windowWidth="20730" windowHeight="11040" xr2:uid="{61C5FB1E-5D29-4273-9557-5CE275C74012}"/>
  </bookViews>
  <sheets>
    <sheet name="Sheet1" sheetId="1" r:id="rId1"/>
  </sheets>
  <definedNames>
    <definedName name="_xlnm.Print_Area" localSheetId="0">Sheet1!$C$3:$I$88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1" l="1"/>
  <c r="I76" i="1"/>
  <c r="I70" i="1"/>
  <c r="I67" i="1"/>
  <c r="I66" i="1"/>
  <c r="I65" i="1"/>
  <c r="I64" i="1"/>
  <c r="I63" i="1"/>
  <c r="I62" i="1"/>
  <c r="D18" i="1"/>
  <c r="F57" i="1"/>
  <c r="I57" i="1" s="1"/>
  <c r="F56" i="1"/>
  <c r="I56" i="1" s="1"/>
  <c r="F50" i="1"/>
  <c r="I50" i="1" s="1"/>
  <c r="F44" i="1"/>
  <c r="I44" i="1" s="1"/>
  <c r="F38" i="1"/>
  <c r="I38" i="1" s="1"/>
  <c r="F32" i="1"/>
  <c r="I32" i="1" s="1"/>
</calcChain>
</file>

<file path=xl/sharedStrings.xml><?xml version="1.0" encoding="utf-8"?>
<sst xmlns="http://schemas.openxmlformats.org/spreadsheetml/2006/main" count="129" uniqueCount="77">
  <si>
    <t>Description</t>
  </si>
  <si>
    <t>IRP1043D10</t>
  </si>
  <si>
    <t>RCB1112BK15</t>
  </si>
  <si>
    <t>RSN1035-K1</t>
  </si>
  <si>
    <t>Codigo</t>
  </si>
  <si>
    <t>Cantidad</t>
  </si>
  <si>
    <t>1 Caja</t>
  </si>
  <si>
    <t>%Imp</t>
  </si>
  <si>
    <t>% desc</t>
  </si>
  <si>
    <t>Dimension (mts) 0.52 x 0.32 x 0.37</t>
  </si>
  <si>
    <t>Volumen (m3) 0.064</t>
  </si>
  <si>
    <t>Peso 16 kg</t>
  </si>
  <si>
    <t>Peso 12 kg</t>
  </si>
  <si>
    <t>4U adjustable depth rack din rail panel, 6 unidades</t>
  </si>
  <si>
    <t>M4 cage nut kit, 20 bolsas</t>
  </si>
  <si>
    <t>4U x 3.78In depth DIN rail energy box, 6 unidades</t>
  </si>
  <si>
    <t>4U x 3.78In depth DIN rail energy box, 4 unidades</t>
  </si>
  <si>
    <t>Precio (CLP)</t>
  </si>
  <si>
    <t>Fabricante Industrial Automation and Enclosures Inc.</t>
  </si>
  <si>
    <t>Valor (CLP)</t>
  </si>
  <si>
    <t>SEÑOR(ES):</t>
  </si>
  <si>
    <t>R.U.T.:</t>
  </si>
  <si>
    <t>GIRO:</t>
  </si>
  <si>
    <t>DIRECCIÓN:</t>
  </si>
  <si>
    <t>COMUNA:</t>
  </si>
  <si>
    <t>CIUDAD:</t>
  </si>
  <si>
    <t>CONTACTO:</t>
  </si>
  <si>
    <t>TIPO DE TRASLADO:</t>
  </si>
  <si>
    <t>PROYESCO CHILE SPA</t>
  </si>
  <si>
    <t>DESTINO:</t>
  </si>
  <si>
    <t>ORIGEN:</t>
  </si>
  <si>
    <t>76.988.493-9</t>
  </si>
  <si>
    <t>LOGISTOK SPA</t>
  </si>
  <si>
    <t>VOLCÁN LICANCABUR #425, BODEGA M3-1, PARQUE INDUSTRIAL LO BOZA</t>
  </si>
  <si>
    <t>PUDAHUE</t>
  </si>
  <si>
    <t>REGIÓN METROPOLITANA</t>
  </si>
  <si>
    <t>ANTONIO PACHECO</t>
  </si>
  <si>
    <t>OTROS TRASLADOS, NO VENTA</t>
  </si>
  <si>
    <t>AV. PRESIDENTE EDUARDO FREI MONTALVA #8551</t>
  </si>
  <si>
    <t>SERVICIO DE DEPÓSITO Y LOGISTICA</t>
  </si>
  <si>
    <t>JUAN PABLO OYARCE</t>
  </si>
  <si>
    <t>FABRICACION DE MOTORES, GENERADORES Y TRANSFORMADORES ELECTRICOS. INGENIERIA</t>
  </si>
  <si>
    <t>96.841.630-8</t>
  </si>
  <si>
    <t>KOLFF SPA</t>
  </si>
  <si>
    <t>TITULAR DE LA MERCADERIA</t>
  </si>
  <si>
    <t>77.656.064-2</t>
  </si>
  <si>
    <t>PRESTACIÓN SERVICIOS INGENIERIA E IMPORTACIÓN Y EXPORTACIÓN DE BIENES</t>
  </si>
  <si>
    <t>CRUZ DEL SUR 133 OF 401</t>
  </si>
  <si>
    <t>LAS CONDES</t>
  </si>
  <si>
    <t>YESSENIA.PINO</t>
  </si>
  <si>
    <t>87701050</t>
  </si>
  <si>
    <t>87841030</t>
  </si>
  <si>
    <t>87701024</t>
  </si>
  <si>
    <t>87701046</t>
  </si>
  <si>
    <t>87702220</t>
  </si>
  <si>
    <t xml:space="preserve"> </t>
  </si>
  <si>
    <t>DH 32/6 Cable entry systems and holders Distance sleeves, 24 unidades</t>
  </si>
  <si>
    <t>ELB/6 Cable entry systems and holders Insert bushing, 48 unidades</t>
  </si>
  <si>
    <t>SMF/B 20 Cable entry systems and holders Type SMF, 10 unidades</t>
  </si>
  <si>
    <t>ZL 140 Strain relief Black, 10 unidades</t>
  </si>
  <si>
    <t>ZL 140-AB/EMV Cable entry systems and holders, 14 unidades</t>
  </si>
  <si>
    <t>ZL-AM strain relief For 16 mm C-rail slotInt, 14 unidades</t>
  </si>
  <si>
    <t>Fabricante Murrplastik</t>
  </si>
  <si>
    <t>Peso 19.2 kg</t>
  </si>
  <si>
    <t>Dimension (mts) 0.60 x 0.60 x 0.40</t>
  </si>
  <si>
    <t>Volumen (m3) 0.144</t>
  </si>
  <si>
    <t>--</t>
  </si>
  <si>
    <t>MATERIALES VARIOS SOBRANTE DE OBRA</t>
  </si>
  <si>
    <t>1 Pallet</t>
  </si>
  <si>
    <t>Volumen (m3) 0.600</t>
  </si>
  <si>
    <t>Peso 25 kg</t>
  </si>
  <si>
    <t>Fabricante Multiples fabricantes</t>
  </si>
  <si>
    <t>Fabricante Rittal</t>
  </si>
  <si>
    <t>Dimension (mts) 2.20 x 0.50 x 0.50</t>
  </si>
  <si>
    <t>Dimension (mts) 1.20 x 1.00 x 0.50</t>
  </si>
  <si>
    <t>Volumen (m3) 0.550</t>
  </si>
  <si>
    <t>Peso 35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</si>
</sst>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3" fontId="0" fillId="0" borderId="2" xfId="0" applyNumberFormat="1" applyBorder="1" applyAlignment="1">
      <alignment horizontal="right" vertical="center"/>
    </xf>
    <xf numFmtId="3" fontId="0" fillId="0" borderId="3" xfId="0" applyNumberFormat="1" applyBorder="1" applyAlignment="1">
      <alignment vertical="center"/>
    </xf>
    <xf numFmtId="3" fontId="0" fillId="0" borderId="4" xfId="0" applyNumberFormat="1" applyBorder="1" applyAlignment="1">
      <alignment vertical="center"/>
    </xf>
    <xf numFmtId="3" fontId="0" fillId="0" borderId="3" xfId="0" applyNumberFormat="1" applyBorder="1" applyAlignment="1">
      <alignment horizontal="right" vertical="center"/>
    </xf>
    <xf numFmtId="0" fontId="0" fillId="0" borderId="2" xfId="0" quotePrefix="1" applyBorder="1" applyAlignment="1">
      <alignment vertical="center"/>
    </xf>
  </cellXfs>
  <cellStyles count="2">
    <cellStyle name="Normal" xfId="0" builtinId="0"/>
    <cellStyle name="Normal 2" xfId="1" xr:uid="{5CB9EBFD-AF57-428A-AE5B-F6796D86B2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A84F-3CD1-48BF-9D27-6DCF411D7C46}">
  <sheetPr>
    <pageSetUpPr fitToPage="1"/>
  </sheetPr>
  <dimension ref="C1:I96"/>
  <sheetViews>
    <sheetView tabSelected="1" topLeftCell="A63" workbookViewId="0">
      <selection activeCell="D91" sqref="D91"/>
    </sheetView>
  </sheetViews>
  <sheetFormatPr baseColWidth="10" defaultColWidth="9.140625" defaultRowHeight="12.75" x14ac:dyDescent="0.2"/>
  <cols>
    <col min="3" max="3" width="20.7109375" customWidth="1"/>
    <col min="4" max="4" width="62.85546875" customWidth="1"/>
    <col min="5" max="5" width="30.85546875" bestFit="1" customWidth="1"/>
    <col min="6" max="9" width="12.85546875" customWidth="1"/>
  </cols>
  <sheetData>
    <row r="1" spans="3:4" s="5" customFormat="1" ht="12.95" customHeight="1" x14ac:dyDescent="0.2"/>
    <row r="2" spans="3:4" s="5" customFormat="1" ht="12.95" customHeight="1" x14ac:dyDescent="0.2"/>
    <row r="3" spans="3:4" s="5" customFormat="1" ht="12.95" customHeight="1" x14ac:dyDescent="0.2">
      <c r="C3" s="6" t="s">
        <v>44</v>
      </c>
    </row>
    <row r="4" spans="3:4" s="5" customFormat="1" ht="12.95" customHeight="1" x14ac:dyDescent="0.2">
      <c r="C4" s="5" t="s">
        <v>20</v>
      </c>
      <c r="D4" s="5" t="s">
        <v>28</v>
      </c>
    </row>
    <row r="5" spans="3:4" s="5" customFormat="1" ht="12.95" customHeight="1" x14ac:dyDescent="0.2">
      <c r="C5" s="5" t="s">
        <v>21</v>
      </c>
      <c r="D5" s="5" t="s">
        <v>45</v>
      </c>
    </row>
    <row r="6" spans="3:4" s="5" customFormat="1" ht="12.95" customHeight="1" x14ac:dyDescent="0.2">
      <c r="C6" s="5" t="s">
        <v>22</v>
      </c>
      <c r="D6" s="5" t="s">
        <v>46</v>
      </c>
    </row>
    <row r="7" spans="3:4" s="5" customFormat="1" ht="12.95" customHeight="1" x14ac:dyDescent="0.2">
      <c r="C7" s="5" t="s">
        <v>23</v>
      </c>
      <c r="D7" s="5" t="s">
        <v>47</v>
      </c>
    </row>
    <row r="8" spans="3:4" s="5" customFormat="1" ht="12.95" customHeight="1" x14ac:dyDescent="0.2">
      <c r="C8" s="5" t="s">
        <v>24</v>
      </c>
      <c r="D8" s="5" t="s">
        <v>48</v>
      </c>
    </row>
    <row r="9" spans="3:4" s="5" customFormat="1" ht="12.95" customHeight="1" x14ac:dyDescent="0.2">
      <c r="C9" s="5" t="s">
        <v>25</v>
      </c>
      <c r="D9" s="5" t="s">
        <v>35</v>
      </c>
    </row>
    <row r="10" spans="3:4" s="5" customFormat="1" ht="12.95" customHeight="1" x14ac:dyDescent="0.2">
      <c r="C10" s="5" t="s">
        <v>26</v>
      </c>
      <c r="D10" s="5" t="s">
        <v>49</v>
      </c>
    </row>
    <row r="11" spans="3:4" s="5" customFormat="1" ht="12.95" customHeight="1" x14ac:dyDescent="0.2">
      <c r="C11" s="5" t="s">
        <v>27</v>
      </c>
      <c r="D11" s="5" t="s">
        <v>37</v>
      </c>
    </row>
    <row r="12" spans="3:4" s="5" customFormat="1" ht="12.95" customHeight="1" x14ac:dyDescent="0.2"/>
    <row r="13" spans="3:4" s="5" customFormat="1" ht="12.95" customHeight="1" x14ac:dyDescent="0.2">
      <c r="C13" s="6" t="s">
        <v>30</v>
      </c>
    </row>
    <row r="14" spans="3:4" s="5" customFormat="1" ht="12.95" customHeight="1" x14ac:dyDescent="0.2">
      <c r="C14" s="5" t="s">
        <v>20</v>
      </c>
      <c r="D14" s="5" t="s">
        <v>43</v>
      </c>
    </row>
    <row r="15" spans="3:4" s="5" customFormat="1" ht="12.95" customHeight="1" x14ac:dyDescent="0.2">
      <c r="C15" s="5" t="s">
        <v>21</v>
      </c>
      <c r="D15" s="5" t="s">
        <v>42</v>
      </c>
    </row>
    <row r="16" spans="3:4" s="5" customFormat="1" ht="12.95" customHeight="1" x14ac:dyDescent="0.2">
      <c r="C16" s="5" t="s">
        <v>22</v>
      </c>
      <c r="D16" s="5" t="s">
        <v>41</v>
      </c>
    </row>
    <row r="17" spans="3:9" s="5" customFormat="1" ht="12.95" customHeight="1" x14ac:dyDescent="0.2">
      <c r="C17" s="5" t="s">
        <v>23</v>
      </c>
      <c r="D17" s="5" t="s">
        <v>38</v>
      </c>
    </row>
    <row r="18" spans="3:9" s="5" customFormat="1" ht="12.95" customHeight="1" x14ac:dyDescent="0.2">
      <c r="C18" s="5" t="s">
        <v>24</v>
      </c>
      <c r="D18" s="5" t="str">
        <f>+UPPER("Quilicura")</f>
        <v>QUILICURA</v>
      </c>
    </row>
    <row r="19" spans="3:9" s="5" customFormat="1" ht="12.95" customHeight="1" x14ac:dyDescent="0.2">
      <c r="C19" s="5" t="s">
        <v>25</v>
      </c>
      <c r="D19" s="5" t="s">
        <v>35</v>
      </c>
    </row>
    <row r="20" spans="3:9" s="5" customFormat="1" ht="12.95" customHeight="1" x14ac:dyDescent="0.2">
      <c r="C20" s="5" t="s">
        <v>26</v>
      </c>
      <c r="D20" s="5" t="s">
        <v>40</v>
      </c>
    </row>
    <row r="21" spans="3:9" s="5" customFormat="1" ht="12.95" customHeight="1" x14ac:dyDescent="0.2"/>
    <row r="22" spans="3:9" s="5" customFormat="1" ht="12.95" customHeight="1" x14ac:dyDescent="0.2">
      <c r="C22" s="6" t="s">
        <v>29</v>
      </c>
    </row>
    <row r="23" spans="3:9" s="5" customFormat="1" ht="12.95" customHeight="1" x14ac:dyDescent="0.2">
      <c r="C23" s="5" t="s">
        <v>20</v>
      </c>
      <c r="D23" s="5" t="s">
        <v>32</v>
      </c>
    </row>
    <row r="24" spans="3:9" s="5" customFormat="1" ht="12.95" customHeight="1" x14ac:dyDescent="0.2">
      <c r="C24" s="5" t="s">
        <v>21</v>
      </c>
      <c r="D24" s="5" t="s">
        <v>31</v>
      </c>
    </row>
    <row r="25" spans="3:9" s="5" customFormat="1" ht="12.95" customHeight="1" x14ac:dyDescent="0.2">
      <c r="C25" s="5" t="s">
        <v>22</v>
      </c>
      <c r="D25" s="5" t="s">
        <v>39</v>
      </c>
    </row>
    <row r="26" spans="3:9" s="5" customFormat="1" ht="12.95" customHeight="1" x14ac:dyDescent="0.2">
      <c r="C26" s="5" t="s">
        <v>23</v>
      </c>
      <c r="D26" s="5" t="s">
        <v>33</v>
      </c>
    </row>
    <row r="27" spans="3:9" s="5" customFormat="1" ht="12.95" customHeight="1" x14ac:dyDescent="0.2">
      <c r="C27" s="5" t="s">
        <v>24</v>
      </c>
      <c r="D27" s="5" t="s">
        <v>34</v>
      </c>
    </row>
    <row r="28" spans="3:9" s="5" customFormat="1" ht="12.95" customHeight="1" x14ac:dyDescent="0.2">
      <c r="C28" s="5" t="s">
        <v>25</v>
      </c>
      <c r="D28" s="5" t="s">
        <v>35</v>
      </c>
    </row>
    <row r="29" spans="3:9" s="5" customFormat="1" ht="12.95" customHeight="1" x14ac:dyDescent="0.2">
      <c r="C29" s="5" t="s">
        <v>26</v>
      </c>
      <c r="D29" s="5" t="s">
        <v>36</v>
      </c>
    </row>
    <row r="30" spans="3:9" s="5" customFormat="1" ht="12.95" customHeight="1" x14ac:dyDescent="0.2"/>
    <row r="31" spans="3:9" s="5" customFormat="1" ht="12.95" customHeight="1" x14ac:dyDescent="0.2">
      <c r="C31" s="4" t="s">
        <v>4</v>
      </c>
      <c r="D31" s="4" t="s">
        <v>0</v>
      </c>
      <c r="E31" s="4" t="s">
        <v>5</v>
      </c>
      <c r="F31" s="4" t="s">
        <v>17</v>
      </c>
      <c r="G31" s="4" t="s">
        <v>7</v>
      </c>
      <c r="H31" s="4" t="s">
        <v>8</v>
      </c>
      <c r="I31" s="4" t="s">
        <v>19</v>
      </c>
    </row>
    <row r="32" spans="3:9" s="5" customFormat="1" ht="12.95" customHeight="1" x14ac:dyDescent="0.2">
      <c r="C32" s="1" t="s">
        <v>1</v>
      </c>
      <c r="D32" s="1" t="s">
        <v>15</v>
      </c>
      <c r="E32" s="1" t="s">
        <v>6</v>
      </c>
      <c r="F32" s="7">
        <f>6*160*1000</f>
        <v>960000</v>
      </c>
      <c r="G32" s="1"/>
      <c r="H32" s="1"/>
      <c r="I32" s="7">
        <f>+F32</f>
        <v>960000</v>
      </c>
    </row>
    <row r="33" spans="3:9" s="5" customFormat="1" ht="12.95" customHeight="1" x14ac:dyDescent="0.2">
      <c r="C33" s="2"/>
      <c r="D33" s="2" t="s">
        <v>18</v>
      </c>
      <c r="E33" s="2" t="s">
        <v>9</v>
      </c>
      <c r="F33" s="8"/>
      <c r="G33" s="2"/>
      <c r="H33" s="2"/>
      <c r="I33" s="8"/>
    </row>
    <row r="34" spans="3:9" s="5" customFormat="1" ht="12.95" customHeight="1" x14ac:dyDescent="0.2">
      <c r="C34" s="2"/>
      <c r="D34" s="2"/>
      <c r="E34" s="2" t="s">
        <v>10</v>
      </c>
      <c r="F34" s="8"/>
      <c r="G34" s="2"/>
      <c r="H34" s="2"/>
      <c r="I34" s="8"/>
    </row>
    <row r="35" spans="3:9" s="5" customFormat="1" ht="12.95" customHeight="1" x14ac:dyDescent="0.2">
      <c r="C35" s="2"/>
      <c r="D35" s="2"/>
      <c r="E35" s="2" t="s">
        <v>11</v>
      </c>
      <c r="F35" s="8"/>
      <c r="G35" s="2"/>
      <c r="H35" s="2"/>
      <c r="I35" s="8"/>
    </row>
    <row r="36" spans="3:9" s="5" customFormat="1" ht="12.95" customHeight="1" x14ac:dyDescent="0.2">
      <c r="C36" s="2"/>
      <c r="D36" s="2"/>
      <c r="E36" s="2"/>
      <c r="F36" s="8"/>
      <c r="G36" s="2"/>
      <c r="H36" s="2"/>
      <c r="I36" s="8"/>
    </row>
    <row r="37" spans="3:9" s="5" customFormat="1" ht="12.95" customHeight="1" x14ac:dyDescent="0.2">
      <c r="C37" s="3"/>
      <c r="D37" s="3"/>
      <c r="E37" s="3"/>
      <c r="F37" s="9"/>
      <c r="G37" s="3"/>
      <c r="H37" s="3"/>
      <c r="I37" s="9"/>
    </row>
    <row r="38" spans="3:9" s="5" customFormat="1" ht="12.95" customHeight="1" x14ac:dyDescent="0.2">
      <c r="C38" s="1" t="s">
        <v>1</v>
      </c>
      <c r="D38" s="1" t="s">
        <v>16</v>
      </c>
      <c r="E38" s="1" t="s">
        <v>6</v>
      </c>
      <c r="F38" s="7">
        <f>4*160*1000</f>
        <v>640000</v>
      </c>
      <c r="G38" s="1"/>
      <c r="H38" s="1"/>
      <c r="I38" s="7">
        <f>+F38</f>
        <v>640000</v>
      </c>
    </row>
    <row r="39" spans="3:9" s="5" customFormat="1" ht="12.95" customHeight="1" x14ac:dyDescent="0.2">
      <c r="C39" s="2"/>
      <c r="D39" s="2" t="s">
        <v>18</v>
      </c>
      <c r="E39" s="2" t="s">
        <v>9</v>
      </c>
      <c r="F39" s="8"/>
      <c r="G39" s="2"/>
      <c r="H39" s="2"/>
      <c r="I39" s="8"/>
    </row>
    <row r="40" spans="3:9" s="5" customFormat="1" ht="12.95" customHeight="1" x14ac:dyDescent="0.2">
      <c r="C40" s="2"/>
      <c r="D40" s="2"/>
      <c r="E40" s="2" t="s">
        <v>10</v>
      </c>
      <c r="F40" s="8"/>
      <c r="G40" s="2"/>
      <c r="H40" s="2"/>
      <c r="I40" s="8"/>
    </row>
    <row r="41" spans="3:9" s="5" customFormat="1" ht="12.95" customHeight="1" x14ac:dyDescent="0.2">
      <c r="C41" s="2"/>
      <c r="D41" s="2"/>
      <c r="E41" s="2" t="s">
        <v>12</v>
      </c>
      <c r="F41" s="8"/>
      <c r="G41" s="2"/>
      <c r="H41" s="2"/>
      <c r="I41" s="8"/>
    </row>
    <row r="42" spans="3:9" s="5" customFormat="1" ht="12.95" customHeight="1" x14ac:dyDescent="0.2">
      <c r="C42" s="2"/>
      <c r="D42" s="2"/>
      <c r="E42" s="2"/>
      <c r="F42" s="8"/>
      <c r="G42" s="2"/>
      <c r="H42" s="2"/>
      <c r="I42" s="8"/>
    </row>
    <row r="43" spans="3:9" s="5" customFormat="1" ht="12.95" customHeight="1" x14ac:dyDescent="0.2">
      <c r="C43" s="3"/>
      <c r="D43" s="3"/>
      <c r="E43" s="3"/>
      <c r="F43" s="9"/>
      <c r="G43" s="3"/>
      <c r="H43" s="3"/>
      <c r="I43" s="9"/>
    </row>
    <row r="44" spans="3:9" s="5" customFormat="1" ht="12.95" customHeight="1" x14ac:dyDescent="0.2">
      <c r="C44" s="1" t="s">
        <v>1</v>
      </c>
      <c r="D44" s="1" t="s">
        <v>16</v>
      </c>
      <c r="E44" s="1" t="s">
        <v>6</v>
      </c>
      <c r="F44" s="7">
        <f>4*160*1000</f>
        <v>640000</v>
      </c>
      <c r="G44" s="1"/>
      <c r="H44" s="1"/>
      <c r="I44" s="7">
        <f>+F44</f>
        <v>640000</v>
      </c>
    </row>
    <row r="45" spans="3:9" s="5" customFormat="1" ht="12.95" customHeight="1" x14ac:dyDescent="0.2">
      <c r="C45" s="2"/>
      <c r="D45" s="2" t="s">
        <v>18</v>
      </c>
      <c r="E45" s="2" t="s">
        <v>9</v>
      </c>
      <c r="F45" s="8"/>
      <c r="G45" s="2"/>
      <c r="H45" s="2"/>
      <c r="I45" s="8"/>
    </row>
    <row r="46" spans="3:9" s="5" customFormat="1" ht="12.95" customHeight="1" x14ac:dyDescent="0.2">
      <c r="C46" s="2"/>
      <c r="D46" s="2"/>
      <c r="E46" s="2" t="s">
        <v>10</v>
      </c>
      <c r="F46" s="8"/>
      <c r="G46" s="2"/>
      <c r="H46" s="2"/>
      <c r="I46" s="8"/>
    </row>
    <row r="47" spans="3:9" s="5" customFormat="1" ht="12.95" customHeight="1" x14ac:dyDescent="0.2">
      <c r="C47" s="2"/>
      <c r="D47" s="2"/>
      <c r="E47" s="2" t="s">
        <v>12</v>
      </c>
      <c r="F47" s="8"/>
      <c r="G47" s="2"/>
      <c r="H47" s="2"/>
      <c r="I47" s="8"/>
    </row>
    <row r="48" spans="3:9" s="5" customFormat="1" ht="12.95" customHeight="1" x14ac:dyDescent="0.2">
      <c r="C48" s="2"/>
      <c r="D48" s="2"/>
      <c r="E48" s="2"/>
      <c r="F48" s="8"/>
      <c r="G48" s="2"/>
      <c r="H48" s="2"/>
      <c r="I48" s="8"/>
    </row>
    <row r="49" spans="3:9" s="5" customFormat="1" ht="12.95" customHeight="1" x14ac:dyDescent="0.2">
      <c r="C49" s="3"/>
      <c r="D49" s="3"/>
      <c r="E49" s="3"/>
      <c r="F49" s="9"/>
      <c r="G49" s="3"/>
      <c r="H49" s="3"/>
      <c r="I49" s="9"/>
    </row>
    <row r="50" spans="3:9" s="5" customFormat="1" ht="12.95" customHeight="1" x14ac:dyDescent="0.2">
      <c r="C50" s="1" t="s">
        <v>2</v>
      </c>
      <c r="D50" s="1" t="s">
        <v>13</v>
      </c>
      <c r="E50" s="1" t="s">
        <v>6</v>
      </c>
      <c r="F50" s="7">
        <f>5*160*1000</f>
        <v>800000</v>
      </c>
      <c r="G50" s="1"/>
      <c r="H50" s="1"/>
      <c r="I50" s="7">
        <f>+F50</f>
        <v>800000</v>
      </c>
    </row>
    <row r="51" spans="3:9" s="5" customFormat="1" ht="12.95" customHeight="1" x14ac:dyDescent="0.2">
      <c r="C51" s="2"/>
      <c r="D51" s="2" t="s">
        <v>18</v>
      </c>
      <c r="E51" s="2" t="s">
        <v>9</v>
      </c>
      <c r="F51" s="8"/>
      <c r="G51" s="2"/>
      <c r="H51" s="2"/>
      <c r="I51" s="8"/>
    </row>
    <row r="52" spans="3:9" s="5" customFormat="1" ht="12.95" customHeight="1" x14ac:dyDescent="0.2">
      <c r="C52" s="2"/>
      <c r="D52" s="2"/>
      <c r="E52" s="2" t="s">
        <v>10</v>
      </c>
      <c r="F52" s="8"/>
      <c r="G52" s="2"/>
      <c r="H52" s="2"/>
      <c r="I52" s="8"/>
    </row>
    <row r="53" spans="3:9" s="5" customFormat="1" ht="12.95" customHeight="1" x14ac:dyDescent="0.2">
      <c r="C53" s="2"/>
      <c r="D53" s="2"/>
      <c r="E53" s="2" t="s">
        <v>12</v>
      </c>
      <c r="F53" s="8"/>
      <c r="G53" s="2"/>
      <c r="H53" s="2"/>
      <c r="I53" s="8"/>
    </row>
    <row r="54" spans="3:9" s="5" customFormat="1" ht="12.95" customHeight="1" x14ac:dyDescent="0.2">
      <c r="C54" s="2"/>
      <c r="D54" s="2"/>
      <c r="E54" s="2"/>
      <c r="F54" s="8"/>
      <c r="G54" s="2"/>
      <c r="H54" s="2"/>
      <c r="I54" s="8"/>
    </row>
    <row r="55" spans="3:9" s="5" customFormat="1" ht="12.95" customHeight="1" x14ac:dyDescent="0.2">
      <c r="C55" s="3"/>
      <c r="D55" s="3"/>
      <c r="E55" s="3"/>
      <c r="F55" s="9"/>
      <c r="G55" s="3"/>
      <c r="H55" s="3"/>
      <c r="I55" s="9"/>
    </row>
    <row r="56" spans="3:9" s="5" customFormat="1" ht="12.95" customHeight="1" x14ac:dyDescent="0.2">
      <c r="C56" s="1" t="s">
        <v>2</v>
      </c>
      <c r="D56" s="1" t="s">
        <v>13</v>
      </c>
      <c r="E56" s="1" t="s">
        <v>6</v>
      </c>
      <c r="F56" s="7">
        <f>1*160*1000</f>
        <v>160000</v>
      </c>
      <c r="G56" s="1"/>
      <c r="H56" s="1"/>
      <c r="I56" s="7">
        <f>+F56</f>
        <v>160000</v>
      </c>
    </row>
    <row r="57" spans="3:9" s="5" customFormat="1" ht="12.95" customHeight="1" x14ac:dyDescent="0.2">
      <c r="C57" s="2" t="s">
        <v>3</v>
      </c>
      <c r="D57" s="2" t="s">
        <v>14</v>
      </c>
      <c r="E57" s="2" t="s">
        <v>9</v>
      </c>
      <c r="F57" s="10">
        <f>20*12*1000</f>
        <v>240000</v>
      </c>
      <c r="G57" s="2"/>
      <c r="H57" s="2"/>
      <c r="I57" s="10">
        <f>+F57</f>
        <v>240000</v>
      </c>
    </row>
    <row r="58" spans="3:9" s="5" customFormat="1" ht="12.95" customHeight="1" x14ac:dyDescent="0.2">
      <c r="C58" s="2"/>
      <c r="D58" s="2" t="s">
        <v>18</v>
      </c>
      <c r="E58" s="2" t="s">
        <v>10</v>
      </c>
      <c r="F58" s="8"/>
      <c r="G58" s="2"/>
      <c r="H58" s="2"/>
      <c r="I58" s="8"/>
    </row>
    <row r="59" spans="3:9" s="5" customFormat="1" ht="12.95" customHeight="1" x14ac:dyDescent="0.2">
      <c r="C59" s="2"/>
      <c r="D59" s="2"/>
      <c r="E59" s="2" t="s">
        <v>12</v>
      </c>
      <c r="F59" s="8"/>
      <c r="G59" s="2"/>
      <c r="H59" s="2"/>
      <c r="I59" s="8"/>
    </row>
    <row r="60" spans="3:9" s="5" customFormat="1" ht="12.95" customHeight="1" x14ac:dyDescent="0.2">
      <c r="C60" s="2"/>
      <c r="D60" s="2"/>
      <c r="E60" s="2"/>
      <c r="F60" s="8"/>
      <c r="G60" s="2"/>
      <c r="H60" s="2"/>
      <c r="I60" s="8"/>
    </row>
    <row r="61" spans="3:9" s="5" customFormat="1" ht="12.95" customHeight="1" x14ac:dyDescent="0.2">
      <c r="C61" s="3"/>
      <c r="D61" s="3"/>
      <c r="E61" s="3"/>
      <c r="F61" s="9"/>
      <c r="G61" s="3"/>
      <c r="H61" s="3"/>
      <c r="I61" s="9"/>
    </row>
    <row r="62" spans="3:9" s="5" customFormat="1" ht="12.95" customHeight="1" x14ac:dyDescent="0.2">
      <c r="C62" s="1">
        <v>87701052</v>
      </c>
      <c r="D62" s="1" t="s">
        <v>56</v>
      </c>
      <c r="E62" s="1" t="s">
        <v>6</v>
      </c>
      <c r="F62" s="7">
        <v>39110</v>
      </c>
      <c r="G62" s="1"/>
      <c r="H62" s="1"/>
      <c r="I62" s="7">
        <f>+F62</f>
        <v>39110</v>
      </c>
    </row>
    <row r="63" spans="3:9" s="5" customFormat="1" ht="12.95" customHeight="1" x14ac:dyDescent="0.2">
      <c r="C63" s="2" t="s">
        <v>50</v>
      </c>
      <c r="D63" s="2" t="s">
        <v>57</v>
      </c>
      <c r="E63" s="2" t="s">
        <v>64</v>
      </c>
      <c r="F63" s="10">
        <v>66190</v>
      </c>
      <c r="G63" s="2"/>
      <c r="H63" s="2"/>
      <c r="I63" s="10">
        <f>+F63</f>
        <v>66190</v>
      </c>
    </row>
    <row r="64" spans="3:9" s="5" customFormat="1" ht="12.95" customHeight="1" x14ac:dyDescent="0.2">
      <c r="C64" s="2" t="s">
        <v>51</v>
      </c>
      <c r="D64" s="2" t="s">
        <v>58</v>
      </c>
      <c r="E64" s="2" t="s">
        <v>65</v>
      </c>
      <c r="F64" s="10">
        <v>383600</v>
      </c>
      <c r="G64" s="2"/>
      <c r="H64" s="2"/>
      <c r="I64" s="10">
        <f t="shared" ref="I64:I67" si="0">+F64</f>
        <v>383600</v>
      </c>
    </row>
    <row r="65" spans="3:9" s="5" customFormat="1" ht="12.95" customHeight="1" x14ac:dyDescent="0.2">
      <c r="C65" s="2" t="s">
        <v>52</v>
      </c>
      <c r="D65" s="2" t="s">
        <v>59</v>
      </c>
      <c r="E65" s="2" t="s">
        <v>63</v>
      </c>
      <c r="F65" s="10">
        <v>42620</v>
      </c>
      <c r="G65" s="2"/>
      <c r="H65" s="2"/>
      <c r="I65" s="10">
        <f t="shared" si="0"/>
        <v>42620</v>
      </c>
    </row>
    <row r="66" spans="3:9" s="5" customFormat="1" ht="12.95" customHeight="1" x14ac:dyDescent="0.2">
      <c r="C66" s="2" t="s">
        <v>53</v>
      </c>
      <c r="D66" s="2" t="s">
        <v>60</v>
      </c>
      <c r="E66" s="2" t="s">
        <v>55</v>
      </c>
      <c r="F66" s="10">
        <v>316750</v>
      </c>
      <c r="G66" s="2"/>
      <c r="H66" s="2"/>
      <c r="I66" s="10">
        <f t="shared" si="0"/>
        <v>316750</v>
      </c>
    </row>
    <row r="67" spans="3:9" s="5" customFormat="1" ht="12.95" customHeight="1" x14ac:dyDescent="0.2">
      <c r="C67" s="2" t="s">
        <v>54</v>
      </c>
      <c r="D67" s="2" t="s">
        <v>61</v>
      </c>
      <c r="E67" s="2" t="s">
        <v>55</v>
      </c>
      <c r="F67" s="10">
        <v>249339.99999999997</v>
      </c>
      <c r="G67" s="2"/>
      <c r="H67" s="2"/>
      <c r="I67" s="10">
        <f t="shared" si="0"/>
        <v>249339.99999999997</v>
      </c>
    </row>
    <row r="68" spans="3:9" s="5" customFormat="1" ht="12.95" customHeight="1" x14ac:dyDescent="0.2">
      <c r="C68" s="2"/>
      <c r="D68" s="2" t="s">
        <v>62</v>
      </c>
      <c r="E68" s="2"/>
      <c r="F68" s="8"/>
      <c r="G68" s="2"/>
      <c r="H68" s="2"/>
      <c r="I68" s="8"/>
    </row>
    <row r="69" spans="3:9" s="5" customFormat="1" ht="12.95" customHeight="1" x14ac:dyDescent="0.2">
      <c r="C69" s="3"/>
      <c r="D69" s="3"/>
      <c r="E69" s="3"/>
      <c r="F69" s="9"/>
      <c r="G69" s="3"/>
      <c r="H69" s="3"/>
      <c r="I69" s="9"/>
    </row>
    <row r="70" spans="3:9" s="5" customFormat="1" ht="12.95" customHeight="1" x14ac:dyDescent="0.2">
      <c r="C70" s="11" t="s">
        <v>66</v>
      </c>
      <c r="D70" s="1" t="s">
        <v>67</v>
      </c>
      <c r="E70" s="1" t="s">
        <v>68</v>
      </c>
      <c r="F70" s="7">
        <v>2000000</v>
      </c>
      <c r="G70" s="1"/>
      <c r="H70" s="1"/>
      <c r="I70" s="7">
        <f>+F70</f>
        <v>2000000</v>
      </c>
    </row>
    <row r="71" spans="3:9" s="5" customFormat="1" ht="12.95" customHeight="1" x14ac:dyDescent="0.2">
      <c r="C71" s="2"/>
      <c r="D71" s="2" t="s">
        <v>71</v>
      </c>
      <c r="E71" s="2" t="s">
        <v>74</v>
      </c>
      <c r="F71" s="10"/>
      <c r="G71" s="2"/>
      <c r="H71" s="2"/>
      <c r="I71" s="10"/>
    </row>
    <row r="72" spans="3:9" s="5" customFormat="1" ht="12.95" customHeight="1" x14ac:dyDescent="0.2">
      <c r="C72" s="2"/>
      <c r="D72" s="2"/>
      <c r="E72" s="2" t="s">
        <v>69</v>
      </c>
      <c r="F72" s="8"/>
      <c r="G72" s="2"/>
      <c r="H72" s="2"/>
      <c r="I72" s="8"/>
    </row>
    <row r="73" spans="3:9" s="5" customFormat="1" ht="12.95" customHeight="1" x14ac:dyDescent="0.2">
      <c r="C73" s="2"/>
      <c r="D73" s="2"/>
      <c r="E73" s="2" t="s">
        <v>70</v>
      </c>
      <c r="F73" s="8"/>
      <c r="G73" s="2"/>
      <c r="H73" s="2"/>
      <c r="I73" s="8"/>
    </row>
    <row r="74" spans="3:9" s="5" customFormat="1" ht="12.95" customHeight="1" x14ac:dyDescent="0.2">
      <c r="C74" s="2"/>
      <c r="D74" s="2"/>
      <c r="E74" s="2"/>
      <c r="F74" s="8"/>
      <c r="G74" s="2"/>
      <c r="H74" s="2"/>
      <c r="I74" s="8"/>
    </row>
    <row r="75" spans="3:9" s="5" customFormat="1" ht="12.95" customHeight="1" x14ac:dyDescent="0.2">
      <c r="C75" s="3"/>
      <c r="D75" s="3"/>
      <c r="E75" s="3"/>
      <c r="F75" s="9"/>
      <c r="G75" s="3"/>
      <c r="H75" s="3"/>
      <c r="I75" s="9"/>
    </row>
    <row r="76" spans="3:9" s="5" customFormat="1" ht="12.95" customHeight="1" x14ac:dyDescent="0.2">
      <c r="C76" s="11" t="s">
        <v>66</v>
      </c>
      <c r="D76" s="1" t="s">
        <v>67</v>
      </c>
      <c r="E76" s="1" t="s">
        <v>68</v>
      </c>
      <c r="F76" s="7">
        <v>2000000</v>
      </c>
      <c r="G76" s="1"/>
      <c r="H76" s="1"/>
      <c r="I76" s="7">
        <f>+F76</f>
        <v>2000000</v>
      </c>
    </row>
    <row r="77" spans="3:9" s="5" customFormat="1" ht="12.95" customHeight="1" x14ac:dyDescent="0.2">
      <c r="C77" s="2"/>
      <c r="D77" s="2" t="s">
        <v>71</v>
      </c>
      <c r="E77" s="2" t="s">
        <v>74</v>
      </c>
      <c r="F77" s="10"/>
      <c r="G77" s="2"/>
      <c r="H77" s="2"/>
      <c r="I77" s="10"/>
    </row>
    <row r="78" spans="3:9" s="5" customFormat="1" ht="12.95" customHeight="1" x14ac:dyDescent="0.2">
      <c r="C78" s="2"/>
      <c r="D78" s="2"/>
      <c r="E78" s="2" t="s">
        <v>69</v>
      </c>
      <c r="F78" s="8"/>
      <c r="G78" s="2"/>
      <c r="H78" s="2"/>
      <c r="I78" s="8"/>
    </row>
    <row r="79" spans="3:9" s="5" customFormat="1" ht="12.95" customHeight="1" x14ac:dyDescent="0.2">
      <c r="C79" s="2"/>
      <c r="D79" s="2"/>
      <c r="E79" s="2" t="s">
        <v>70</v>
      </c>
      <c r="F79" s="8"/>
      <c r="G79" s="2"/>
      <c r="H79" s="2"/>
      <c r="I79" s="8"/>
    </row>
    <row r="80" spans="3:9" s="5" customFormat="1" ht="12.95" customHeight="1" x14ac:dyDescent="0.2">
      <c r="C80" s="2"/>
      <c r="D80" s="2"/>
      <c r="E80" s="2"/>
      <c r="F80" s="8"/>
      <c r="G80" s="2"/>
      <c r="H80" s="2"/>
      <c r="I80" s="8"/>
    </row>
    <row r="81" spans="3:9" s="5" customFormat="1" ht="12.95" customHeight="1" x14ac:dyDescent="0.2">
      <c r="C81" s="3"/>
      <c r="D81" s="3"/>
      <c r="E81" s="3"/>
      <c r="F81" s="9"/>
      <c r="G81" s="3"/>
      <c r="H81" s="3"/>
      <c r="I81" s="9"/>
    </row>
    <row r="82" spans="3:9" s="5" customFormat="1" ht="12.95" customHeight="1" x14ac:dyDescent="0.2">
      <c r="C82" s="11" t="s">
        <v>66</v>
      </c>
      <c r="D82" s="1" t="s">
        <v>67</v>
      </c>
      <c r="E82" s="1" t="s">
        <v>68</v>
      </c>
      <c r="F82" s="7">
        <v>500000</v>
      </c>
      <c r="G82" s="1"/>
      <c r="H82" s="1"/>
      <c r="I82" s="7">
        <f>+F82</f>
        <v>500000</v>
      </c>
    </row>
    <row r="83" spans="3:9" s="5" customFormat="1" ht="12.95" customHeight="1" x14ac:dyDescent="0.2">
      <c r="C83" s="2"/>
      <c r="D83" s="2" t="s">
        <v>72</v>
      </c>
      <c r="E83" s="2" t="s">
        <v>73</v>
      </c>
      <c r="F83" s="10"/>
      <c r="G83" s="2"/>
      <c r="H83" s="2"/>
      <c r="I83" s="10"/>
    </row>
    <row r="84" spans="3:9" s="5" customFormat="1" ht="12.95" customHeight="1" x14ac:dyDescent="0.2">
      <c r="C84" s="2"/>
      <c r="D84" s="2"/>
      <c r="E84" s="2" t="s">
        <v>75</v>
      </c>
      <c r="F84" s="8"/>
      <c r="G84" s="2"/>
      <c r="H84" s="2"/>
      <c r="I84" s="8"/>
    </row>
    <row r="85" spans="3:9" s="5" customFormat="1" ht="12.95" customHeight="1" x14ac:dyDescent="0.2">
      <c r="C85" s="2"/>
      <c r="D85" s="2"/>
      <c r="E85" s="2" t="s">
        <v>76</v>
      </c>
      <c r="F85" s="8"/>
      <c r="G85" s="2"/>
      <c r="H85" s="2"/>
      <c r="I85" s="8"/>
    </row>
    <row r="86" spans="3:9" s="5" customFormat="1" ht="12.95" customHeight="1" x14ac:dyDescent="0.2">
      <c r="C86" s="2"/>
      <c r="D86" s="2"/>
      <c r="E86" s="2"/>
      <c r="F86" s="8"/>
      <c r="G86" s="2"/>
      <c r="H86" s="2"/>
      <c r="I86" s="8"/>
    </row>
    <row r="87" spans="3:9" s="5" customFormat="1" ht="12.95" customHeight="1" x14ac:dyDescent="0.2">
      <c r="C87" s="3"/>
      <c r="D87" s="3"/>
      <c r="E87" s="3"/>
      <c r="F87" s="9"/>
      <c r="G87" s="3"/>
      <c r="H87" s="3"/>
      <c r="I87" s="9"/>
    </row>
    <row r="88" spans="3:9" s="5" customFormat="1" ht="12.95" customHeight="1" x14ac:dyDescent="0.2"/>
    <row r="89" spans="3:9" s="5" customFormat="1" ht="12.95" customHeight="1" x14ac:dyDescent="0.2"/>
    <row r="90" spans="3:9" s="5" customFormat="1" ht="12.95" customHeight="1" x14ac:dyDescent="0.2"/>
    <row r="91" spans="3:9" s="5" customFormat="1" ht="12.95" customHeight="1" x14ac:dyDescent="0.2"/>
    <row r="92" spans="3:9" s="5" customFormat="1" ht="12.95" customHeight="1" x14ac:dyDescent="0.2"/>
    <row r="93" spans="3:9" s="5" customFormat="1" ht="12.95" customHeight="1" x14ac:dyDescent="0.2"/>
    <row r="94" spans="3:9" s="5" customFormat="1" ht="12.95" customHeight="1" x14ac:dyDescent="0.2"/>
    <row r="95" spans="3:9" s="5" customFormat="1" ht="12.95" customHeight="1" x14ac:dyDescent="0.2"/>
    <row r="96" spans="3:9" s="5" customFormat="1" ht="12.95" customHeight="1" x14ac:dyDescent="0.2"/>
  </sheetData>
  <pageMargins left="0.25" right="0.25" top="0.75" bottom="0.75" header="0.3" footer="0.3"/>
  <pageSetup scale="62" fitToHeight="0" orientation="portrait" r:id="rId1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D28E1A-D064-4EA8-AF58-903E67FB7275}"/>
</file>

<file path=customXml/itemProps2.xml><?xml version="1.0" encoding="utf-8"?>
<ds:datastoreItem xmlns:ds="http://schemas.openxmlformats.org/officeDocument/2006/customXml" ds:itemID="{EE1E6F28-8195-4A47-8D03-640B04B5640A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Leopoldo Fernandez Suarez</dc:creator>
  <cp:lastModifiedBy>Carolina Cabrera</cp:lastModifiedBy>
  <dcterms:created xsi:type="dcterms:W3CDTF">2024-04-29T20:20:30Z</dcterms:created>
  <dcterms:modified xsi:type="dcterms:W3CDTF">2024-04-30T17:23:57Z</dcterms:modified>
</cp:coreProperties>
</file>