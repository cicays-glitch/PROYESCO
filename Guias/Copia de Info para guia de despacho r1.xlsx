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CarolinaCabrera\OneDrive - RSM Chile SPA\CCABRERA\EMPRESAS\11 PROYESCO\"/>
    </mc:Choice>
  </mc:AlternateContent>
  <xr:revisionPtr revIDLastSave="0" documentId="8_{0AD98E86-E78F-4B25-998B-3C7EEBCC6215}" xr6:coauthVersionLast="47" xr6:coauthVersionMax="47" xr10:uidLastSave="{00000000-0000-0000-0000-000000000000}"/>
  <bookViews>
    <workbookView xWindow="-8325" yWindow="0" windowWidth="8370" windowHeight="10905" xr2:uid="{648075A9-1114-4634-801F-33EC63E47B7F}"/>
  </bookViews>
  <sheets>
    <sheet name="Teic" sheetId="1" r:id="rId1"/>
  </sheets>
  <definedNames>
    <definedName name="__xlnm.Print_Area_1">#REF!</definedName>
    <definedName name="__xlnm.Print_Area_2">#REF!</definedName>
    <definedName name="__xlnm.Print_Titles_1">#REF!</definedName>
    <definedName name="_xlnm.Print_Area" localSheetId="0">Teic!$D$5:$F$52</definedName>
    <definedName name="dfgd">#REF!</definedName>
    <definedName name="Excel_BuiltIn_Print_Titles_2_1">#REF!</definedName>
    <definedName name="Excel_BuiltIn_Print_Titles_2_1_1">#REF!</definedName>
    <definedName name="p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1" l="1"/>
  <c r="I50" i="1"/>
  <c r="H50" i="1"/>
  <c r="G50" i="1"/>
  <c r="J47" i="1"/>
  <c r="I47" i="1"/>
  <c r="H47" i="1"/>
  <c r="G47" i="1"/>
  <c r="J44" i="1"/>
  <c r="I44" i="1"/>
  <c r="H44" i="1"/>
  <c r="G44" i="1"/>
  <c r="J41" i="1"/>
  <c r="I41" i="1"/>
  <c r="H41" i="1"/>
  <c r="G41" i="1"/>
  <c r="J38" i="1"/>
  <c r="I38" i="1"/>
  <c r="H38" i="1"/>
  <c r="G38" i="1"/>
  <c r="J35" i="1"/>
  <c r="I35" i="1"/>
  <c r="H35" i="1"/>
  <c r="G35" i="1"/>
  <c r="J32" i="1"/>
  <c r="I32" i="1"/>
  <c r="H32" i="1"/>
  <c r="G32" i="1"/>
  <c r="J29" i="1"/>
  <c r="I29" i="1"/>
  <c r="H29" i="1"/>
  <c r="G29" i="1"/>
  <c r="J26" i="1"/>
  <c r="I26" i="1"/>
  <c r="H26" i="1"/>
  <c r="G26" i="1"/>
  <c r="J23" i="1"/>
  <c r="I23" i="1"/>
  <c r="H23" i="1"/>
  <c r="G23" i="1"/>
  <c r="J20" i="1"/>
  <c r="I20" i="1"/>
  <c r="H20" i="1"/>
  <c r="G20" i="1"/>
  <c r="J17" i="1"/>
  <c r="I17" i="1"/>
  <c r="H17" i="1"/>
  <c r="G17" i="1"/>
  <c r="J14" i="1"/>
  <c r="I14" i="1"/>
  <c r="H14" i="1"/>
  <c r="G14" i="1"/>
  <c r="J11" i="1"/>
  <c r="I11" i="1"/>
  <c r="H11" i="1"/>
  <c r="G11" i="1"/>
  <c r="H8" i="1"/>
  <c r="G8" i="1"/>
  <c r="J8" i="1"/>
  <c r="I8" i="1"/>
  <c r="E52" i="1" l="1"/>
  <c r="E51" i="1"/>
  <c r="E49" i="1"/>
  <c r="E48" i="1"/>
  <c r="E46" i="1"/>
  <c r="E45" i="1"/>
  <c r="E43" i="1"/>
  <c r="E42" i="1"/>
  <c r="E40" i="1"/>
  <c r="E39" i="1"/>
  <c r="E37" i="1"/>
  <c r="E36" i="1"/>
  <c r="E34" i="1"/>
  <c r="E33" i="1"/>
  <c r="E31" i="1"/>
  <c r="E30" i="1"/>
  <c r="E28" i="1"/>
  <c r="E27" i="1"/>
  <c r="E25" i="1"/>
  <c r="E24" i="1"/>
  <c r="E22" i="1"/>
  <c r="E21" i="1"/>
  <c r="E19" i="1"/>
  <c r="E18" i="1"/>
  <c r="E16" i="1"/>
  <c r="E15" i="1"/>
  <c r="E13" i="1"/>
  <c r="E12" i="1"/>
  <c r="E10" i="1"/>
  <c r="E9" i="1"/>
</calcChain>
</file>

<file path=xl/sharedStrings.xml><?xml version="1.0" encoding="utf-8"?>
<sst xmlns="http://schemas.openxmlformats.org/spreadsheetml/2006/main" count="96" uniqueCount="73">
  <si>
    <t>TAG</t>
  </si>
  <si>
    <t>Codigo</t>
  </si>
  <si>
    <t>Descripción</t>
  </si>
  <si>
    <t>Cantidad</t>
  </si>
  <si>
    <t>Volumen</t>
  </si>
  <si>
    <t>LENGTH (mts)</t>
  </si>
  <si>
    <t>WIDTH (mts)</t>
  </si>
  <si>
    <t>HEIGHT (mts)</t>
  </si>
  <si>
    <t>VOLUME (m3)</t>
  </si>
  <si>
    <t>NET W (Kg)</t>
  </si>
  <si>
    <t>TOTAL W (Kg)</t>
  </si>
  <si>
    <t>4225-4225CDD062COM</t>
  </si>
  <si>
    <t>5700-CU-001</t>
  </si>
  <si>
    <t>5700-CU-002</t>
  </si>
  <si>
    <t>5700-CU-003</t>
  </si>
  <si>
    <t>5700-CU-004</t>
  </si>
  <si>
    <t>4225-4225CDU062COM</t>
  </si>
  <si>
    <t>8200-CU-002</t>
  </si>
  <si>
    <t>8200-CU-003</t>
  </si>
  <si>
    <t>4225-4225PS1062COM</t>
  </si>
  <si>
    <t>5720-CU-002</t>
  </si>
  <si>
    <t>4225-4225PS2062COM</t>
  </si>
  <si>
    <t>5730-CU-002</t>
  </si>
  <si>
    <t>4225-4225PS3062COM</t>
  </si>
  <si>
    <t>5740-CU-002</t>
  </si>
  <si>
    <t>4225-4225PS4062COM</t>
  </si>
  <si>
    <t>5750-CU-002</t>
  </si>
  <si>
    <t>4225-4225PS5062COM</t>
  </si>
  <si>
    <t>5760-CU-002</t>
  </si>
  <si>
    <t>4225-4225TS062COM</t>
  </si>
  <si>
    <t>4225-4225GL062R3Y</t>
  </si>
  <si>
    <t>3YR SPARE</t>
  </si>
  <si>
    <t>4225-4225GL062RPEM</t>
  </si>
  <si>
    <t>PEM SPARE</t>
  </si>
  <si>
    <t>5720-CU-003</t>
  </si>
  <si>
    <t>5730-CU-003</t>
  </si>
  <si>
    <t>5740-CU-003</t>
  </si>
  <si>
    <t>5750-CU-003</t>
  </si>
  <si>
    <t>5760-CU-003</t>
  </si>
  <si>
    <t>5778-CU-003</t>
  </si>
  <si>
    <t>Sap</t>
  </si>
  <si>
    <t>Paquete 1 (4225-4225CDD062COM) IL 500031086</t>
  </si>
  <si>
    <t>Paquete 2 (4225-4225CDD062COM) IL 500031086</t>
  </si>
  <si>
    <t>Paquete 3 (4225-4225CDD062COM) IL 500031086</t>
  </si>
  <si>
    <t>Paquete 4 (4225-4225CDD062COM) IL 500031086</t>
  </si>
  <si>
    <t>Paquete 5 (4225-4225CDU062COM) IL 500031086</t>
  </si>
  <si>
    <t>Paquete 6 (4225-4225CDU062COM) IL 500031086</t>
  </si>
  <si>
    <t>Paquete 7 (4225-4225PS1062COM) IL 500029782</t>
  </si>
  <si>
    <t>Paquete 8 (4225-4225PS2062COM) IL 500029783</t>
  </si>
  <si>
    <t>Paquete 9 (4225-4225PS3062COM) IL 500029782</t>
  </si>
  <si>
    <t>Paquete 10 (4225-4225PS4062COM) IL 500029783</t>
  </si>
  <si>
    <t>Paquete 11 (4225-4225PS5062COM) IL 500029783</t>
  </si>
  <si>
    <t>Paquete 12 (4225-4225GL062R3Y) IL 500030834</t>
  </si>
  <si>
    <t>Paquete 13 (4225-4225GL062RPEM) IL 500030834</t>
  </si>
  <si>
    <t>Paquete 14 (4225-4225PS1062COM,4225-4225PS2062COM,4225-4225PS3062COM) IL 500030834</t>
  </si>
  <si>
    <t>Paquete 15 (4225-4225PS4062COM,4225-4225PS5062COM,4225-4225TS062COM) IL 500030834</t>
  </si>
  <si>
    <t>Dimensión</t>
  </si>
  <si>
    <t>Neto</t>
  </si>
  <si>
    <t>Bruto</t>
  </si>
  <si>
    <t>10-1</t>
  </si>
  <si>
    <t>10-4</t>
  </si>
  <si>
    <t>10-2</t>
  </si>
  <si>
    <t>10-3</t>
  </si>
  <si>
    <t>20-1</t>
  </si>
  <si>
    <t>20-2</t>
  </si>
  <si>
    <t>30-1</t>
  </si>
  <si>
    <t>40-1</t>
  </si>
  <si>
    <t>50-1</t>
  </si>
  <si>
    <t>60-1</t>
  </si>
  <si>
    <t>70-1</t>
  </si>
  <si>
    <t>30-2, 40-2, 50-2</t>
  </si>
  <si>
    <t>60-2, 70-2, 90-2</t>
  </si>
  <si>
    <t>1 Cajón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</si>
</sst>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8"/>
      <color rgb="FF00000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7">
    <xf numFmtId="0" fontId="0" fillId="0" borderId="0" xfId="0"/>
    <xf numFmtId="0" fontId="1" fillId="0" borderId="0" xfId="1" applyFont="1"/>
    <xf numFmtId="0" fontId="1" fillId="0" borderId="0" xfId="1" applyFont="1" applyAlignment="1">
      <alignment horizontal="center" vertical="center"/>
    </xf>
    <xf numFmtId="0" fontId="2" fillId="0" borderId="0" xfId="1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2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left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left" vertical="center"/>
    </xf>
    <xf numFmtId="0" fontId="2" fillId="0" borderId="0" xfId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" xfId="1" quotePrefix="1" applyFont="1" applyBorder="1" applyAlignment="1">
      <alignment horizontal="center" vertical="center"/>
    </xf>
    <xf numFmtId="0" fontId="3" fillId="2" borderId="1" xfId="1" quotePrefix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left" vertical="center"/>
    </xf>
    <xf numFmtId="0" fontId="3" fillId="2" borderId="9" xfId="1" applyFont="1" applyFill="1" applyBorder="1" applyAlignment="1">
      <alignment horizontal="center" vertical="center"/>
    </xf>
    <xf numFmtId="0" fontId="3" fillId="3" borderId="1" xfId="1" quotePrefix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left" vertical="center"/>
    </xf>
    <xf numFmtId="0" fontId="3" fillId="3" borderId="9" xfId="1" applyFont="1" applyFill="1" applyBorder="1" applyAlignment="1">
      <alignment horizontal="center" vertical="center"/>
    </xf>
    <xf numFmtId="0" fontId="3" fillId="4" borderId="1" xfId="1" quotePrefix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left" vertical="center"/>
    </xf>
    <xf numFmtId="0" fontId="3" fillId="4" borderId="9" xfId="1" applyFont="1" applyFill="1" applyBorder="1" applyAlignment="1">
      <alignment horizontal="center" vertical="center"/>
    </xf>
    <xf numFmtId="0" fontId="3" fillId="5" borderId="1" xfId="1" quotePrefix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left" vertical="center"/>
    </xf>
    <xf numFmtId="0" fontId="3" fillId="5" borderId="3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left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3" fillId="5" borderId="8" xfId="1" applyFont="1" applyFill="1" applyBorder="1" applyAlignment="1">
      <alignment horizontal="left" vertical="center"/>
    </xf>
    <xf numFmtId="0" fontId="3" fillId="5" borderId="9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84080148-5791-4FAC-93DF-31843D00EA9F}"/>
  </cellStyles>
  <dxfs count="1">
    <dxf>
      <numFmt numFmtId="164" formatCode="#,##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B91E-BB73-417D-B2F9-E3A9961F63E3}">
  <sheetPr>
    <pageSetUpPr fitToPage="1"/>
  </sheetPr>
  <dimension ref="B2:P57"/>
  <sheetViews>
    <sheetView tabSelected="1" topLeftCell="A16" workbookViewId="0">
      <selection activeCell="E32" sqref="E32"/>
    </sheetView>
  </sheetViews>
  <sheetFormatPr baseColWidth="10" defaultColWidth="9.140625" defaultRowHeight="15" x14ac:dyDescent="0.25"/>
  <cols>
    <col min="1" max="1" width="1.7109375" style="3" customWidth="1"/>
    <col min="2" max="2" width="11.7109375" style="3" hidden="1" customWidth="1"/>
    <col min="3" max="3" width="20.5703125" style="3" hidden="1" customWidth="1"/>
    <col min="4" max="4" width="6.85546875" style="3" customWidth="1"/>
    <col min="5" max="5" width="50.28515625" style="3" customWidth="1"/>
    <col min="6" max="6" width="8.140625" style="26" bestFit="1" customWidth="1"/>
    <col min="7" max="7" width="28.5703125" style="3" hidden="1" customWidth="1"/>
    <col min="8" max="10" width="17.5703125" style="3" hidden="1" customWidth="1"/>
    <col min="11" max="11" width="11.7109375" style="3" hidden="1" customWidth="1"/>
    <col min="12" max="12" width="10.5703125" style="3" hidden="1" customWidth="1"/>
    <col min="13" max="13" width="11.140625" style="3" hidden="1" customWidth="1"/>
    <col min="14" max="14" width="11.5703125" style="3" hidden="1" customWidth="1"/>
    <col min="15" max="15" width="9.28515625" style="3" hidden="1" customWidth="1"/>
    <col min="16" max="16" width="11.7109375" style="3" hidden="1" customWidth="1"/>
    <col min="17" max="18" width="0" style="3" hidden="1" customWidth="1"/>
    <col min="19" max="16384" width="9.140625" style="3"/>
  </cols>
  <sheetData>
    <row r="2" spans="2:16" x14ac:dyDescent="0.25">
      <c r="B2" s="2"/>
    </row>
    <row r="3" spans="2:16" x14ac:dyDescent="0.25">
      <c r="B3" s="1"/>
    </row>
    <row r="4" spans="2:16" x14ac:dyDescent="0.25">
      <c r="B4" s="1"/>
    </row>
    <row r="5" spans="2:16" x14ac:dyDescent="0.25">
      <c r="B5" s="4" t="s">
        <v>0</v>
      </c>
      <c r="C5" s="5" t="s">
        <v>40</v>
      </c>
      <c r="D5" s="11" t="s">
        <v>1</v>
      </c>
      <c r="E5" s="12" t="s">
        <v>2</v>
      </c>
      <c r="F5" s="13" t="s">
        <v>3</v>
      </c>
      <c r="G5" s="10" t="s">
        <v>56</v>
      </c>
      <c r="H5" s="10" t="s">
        <v>4</v>
      </c>
      <c r="I5" s="10" t="s">
        <v>57</v>
      </c>
      <c r="J5" s="10" t="s">
        <v>58</v>
      </c>
      <c r="K5" s="6" t="s">
        <v>5</v>
      </c>
      <c r="L5" s="6" t="s">
        <v>6</v>
      </c>
      <c r="M5" s="6" t="s">
        <v>7</v>
      </c>
      <c r="N5" s="6" t="s">
        <v>8</v>
      </c>
      <c r="O5" s="6" t="s">
        <v>9</v>
      </c>
      <c r="P5" s="6" t="s">
        <v>10</v>
      </c>
    </row>
    <row r="6" spans="2:16" x14ac:dyDescent="0.25">
      <c r="B6" s="4"/>
      <c r="C6" s="5"/>
      <c r="D6" s="14"/>
      <c r="E6" s="15"/>
      <c r="F6" s="16"/>
      <c r="G6" s="10"/>
      <c r="H6" s="10"/>
      <c r="I6" s="10"/>
      <c r="J6" s="10"/>
      <c r="K6" s="6"/>
      <c r="L6" s="6"/>
      <c r="M6" s="6"/>
      <c r="N6" s="6"/>
      <c r="O6" s="6"/>
      <c r="P6" s="6"/>
    </row>
    <row r="7" spans="2:16" x14ac:dyDescent="0.25">
      <c r="B7" s="4"/>
      <c r="C7" s="5"/>
      <c r="D7" s="17"/>
      <c r="E7" s="18"/>
      <c r="F7" s="19"/>
      <c r="G7" s="10"/>
      <c r="H7" s="10"/>
      <c r="I7" s="10"/>
      <c r="J7" s="10"/>
      <c r="K7" s="6"/>
      <c r="L7" s="6"/>
      <c r="M7" s="6"/>
      <c r="N7" s="6"/>
      <c r="O7" s="6"/>
      <c r="P7" s="6"/>
    </row>
    <row r="8" spans="2:16" x14ac:dyDescent="0.25">
      <c r="B8" s="5" t="s">
        <v>12</v>
      </c>
      <c r="C8" s="5" t="s">
        <v>11</v>
      </c>
      <c r="D8" s="31" t="s">
        <v>59</v>
      </c>
      <c r="E8" s="32" t="s">
        <v>41</v>
      </c>
      <c r="F8" s="33" t="s">
        <v>72</v>
      </c>
      <c r="G8" s="7" t="str">
        <f>+"Dimensión (mts): "&amp;TEXT(K8,"0.00")&amp;"x"&amp;TEXT(L8,"0.00")&amp;"x"&amp;TEXT(M8,"0.00")</f>
        <v>Dimensión (mts): 1.21x1.00x2.52</v>
      </c>
      <c r="H8" s="7" t="str">
        <f>+"Vol (m3): "&amp;TEXT(N8,"0.00")</f>
        <v>Vol (m3): 3.05</v>
      </c>
      <c r="I8" s="7" t="str">
        <f>+"Neto (kg): "&amp;O8</f>
        <v>Neto (kg): 295</v>
      </c>
      <c r="J8" s="7" t="str">
        <f>+"Bruto (kg): "&amp;P8</f>
        <v>Bruto (kg): 401</v>
      </c>
      <c r="K8" s="8">
        <v>1.21</v>
      </c>
      <c r="L8" s="8">
        <v>1</v>
      </c>
      <c r="M8" s="8">
        <v>2.52</v>
      </c>
      <c r="N8" s="8">
        <v>3.0491999999999999</v>
      </c>
      <c r="O8" s="9">
        <v>295</v>
      </c>
      <c r="P8" s="9">
        <v>401</v>
      </c>
    </row>
    <row r="9" spans="2:16" x14ac:dyDescent="0.25">
      <c r="B9" s="5"/>
      <c r="C9" s="5"/>
      <c r="D9" s="34"/>
      <c r="E9" s="35" t="str">
        <f>+G8&amp;", "&amp;H8</f>
        <v>Dimensión (mts): 1.21x1.00x2.52, Vol (m3): 3.05</v>
      </c>
      <c r="F9" s="36"/>
      <c r="G9" s="7"/>
      <c r="H9" s="7"/>
      <c r="I9" s="7"/>
      <c r="J9" s="7"/>
      <c r="K9" s="8"/>
      <c r="L9" s="8"/>
      <c r="M9" s="8"/>
      <c r="N9" s="8"/>
      <c r="O9" s="9"/>
      <c r="P9" s="9"/>
    </row>
    <row r="10" spans="2:16" x14ac:dyDescent="0.25">
      <c r="B10" s="5"/>
      <c r="C10" s="5"/>
      <c r="D10" s="37"/>
      <c r="E10" s="38" t="str">
        <f>+I8&amp;", "&amp;J8</f>
        <v>Neto (kg): 295, Bruto (kg): 401</v>
      </c>
      <c r="F10" s="39"/>
      <c r="G10" s="7"/>
      <c r="H10" s="7"/>
      <c r="I10" s="7"/>
      <c r="J10" s="7"/>
      <c r="K10" s="8"/>
      <c r="L10" s="8"/>
      <c r="M10" s="8"/>
      <c r="N10" s="8"/>
      <c r="O10" s="9"/>
      <c r="P10" s="9"/>
    </row>
    <row r="11" spans="2:16" x14ac:dyDescent="0.25">
      <c r="B11" s="5" t="s">
        <v>13</v>
      </c>
      <c r="C11" s="5" t="s">
        <v>11</v>
      </c>
      <c r="D11" s="31" t="s">
        <v>61</v>
      </c>
      <c r="E11" s="32" t="s">
        <v>42</v>
      </c>
      <c r="F11" s="33" t="s">
        <v>72</v>
      </c>
      <c r="G11" s="7" t="str">
        <f t="shared" ref="G11" si="0">+"Dimensión (mts): "&amp;TEXT(K11,"0.00")&amp;"x"&amp;TEXT(L11,"0.00")&amp;"x"&amp;TEXT(M11,"0.00")</f>
        <v>Dimensión (mts): 1.21x1.00x2.52</v>
      </c>
      <c r="H11" s="7" t="str">
        <f t="shared" ref="H11" si="1">+"Vol (m3): "&amp;TEXT(N11,"0.00")</f>
        <v>Vol (m3): 3.05</v>
      </c>
      <c r="I11" s="7" t="str">
        <f t="shared" ref="I11" si="2">+"Neto (kg): "&amp;O11</f>
        <v>Neto (kg): 291</v>
      </c>
      <c r="J11" s="7" t="str">
        <f t="shared" ref="J11" si="3">+"Bruto (kg): "&amp;P11</f>
        <v>Bruto (kg): 397</v>
      </c>
      <c r="K11" s="8">
        <v>1.21</v>
      </c>
      <c r="L11" s="8">
        <v>1</v>
      </c>
      <c r="M11" s="8">
        <v>2.52</v>
      </c>
      <c r="N11" s="8">
        <v>3.0491999999999999</v>
      </c>
      <c r="O11" s="9">
        <v>291</v>
      </c>
      <c r="P11" s="9">
        <v>397</v>
      </c>
    </row>
    <row r="12" spans="2:16" x14ac:dyDescent="0.25">
      <c r="B12" s="5"/>
      <c r="C12" s="5"/>
      <c r="D12" s="34"/>
      <c r="E12" s="35" t="str">
        <f>+G11&amp;", "&amp;H11</f>
        <v>Dimensión (mts): 1.21x1.00x2.52, Vol (m3): 3.05</v>
      </c>
      <c r="F12" s="36"/>
      <c r="G12" s="7"/>
      <c r="H12" s="7"/>
      <c r="I12" s="7"/>
      <c r="J12" s="7"/>
      <c r="K12" s="8"/>
      <c r="L12" s="8"/>
      <c r="M12" s="8"/>
      <c r="N12" s="8"/>
      <c r="O12" s="9"/>
      <c r="P12" s="9"/>
    </row>
    <row r="13" spans="2:16" x14ac:dyDescent="0.25">
      <c r="B13" s="5"/>
      <c r="C13" s="5"/>
      <c r="D13" s="37"/>
      <c r="E13" s="38" t="str">
        <f>+I11&amp;", "&amp;J11</f>
        <v>Neto (kg): 291, Bruto (kg): 397</v>
      </c>
      <c r="F13" s="39"/>
      <c r="G13" s="7"/>
      <c r="H13" s="7"/>
      <c r="I13" s="7"/>
      <c r="J13" s="7"/>
      <c r="K13" s="8"/>
      <c r="L13" s="8"/>
      <c r="M13" s="8"/>
      <c r="N13" s="8"/>
      <c r="O13" s="9"/>
      <c r="P13" s="9"/>
    </row>
    <row r="14" spans="2:16" x14ac:dyDescent="0.25">
      <c r="B14" s="5" t="s">
        <v>14</v>
      </c>
      <c r="C14" s="5" t="s">
        <v>11</v>
      </c>
      <c r="D14" s="40" t="s">
        <v>62</v>
      </c>
      <c r="E14" s="41" t="s">
        <v>43</v>
      </c>
      <c r="F14" s="42" t="s">
        <v>72</v>
      </c>
      <c r="G14" s="7" t="str">
        <f t="shared" ref="G14" si="4">+"Dimensión (mts): "&amp;TEXT(K14,"0.00")&amp;"x"&amp;TEXT(L14,"0.00")&amp;"x"&amp;TEXT(M14,"0.00")</f>
        <v>Dimensión (mts): 1.21x1.00x2.52</v>
      </c>
      <c r="H14" s="7" t="str">
        <f t="shared" ref="H14" si="5">+"Vol (m3): "&amp;TEXT(N14,"0.00")</f>
        <v>Vol (m3): 3.05</v>
      </c>
      <c r="I14" s="7" t="str">
        <f t="shared" ref="I14" si="6">+"Neto (kg): "&amp;O14</f>
        <v>Neto (kg): 297</v>
      </c>
      <c r="J14" s="7" t="str">
        <f t="shared" ref="J14" si="7">+"Bruto (kg): "&amp;P14</f>
        <v>Bruto (kg): 403</v>
      </c>
      <c r="K14" s="8">
        <v>1.21</v>
      </c>
      <c r="L14" s="8">
        <v>1</v>
      </c>
      <c r="M14" s="8">
        <v>2.52</v>
      </c>
      <c r="N14" s="8">
        <v>3.0491999999999999</v>
      </c>
      <c r="O14" s="9">
        <v>297</v>
      </c>
      <c r="P14" s="9">
        <v>403</v>
      </c>
    </row>
    <row r="15" spans="2:16" x14ac:dyDescent="0.25">
      <c r="B15" s="5"/>
      <c r="C15" s="5"/>
      <c r="D15" s="43"/>
      <c r="E15" s="44" t="str">
        <f>+G14&amp;", "&amp;H14</f>
        <v>Dimensión (mts): 1.21x1.00x2.52, Vol (m3): 3.05</v>
      </c>
      <c r="F15" s="45"/>
      <c r="G15" s="7"/>
      <c r="H15" s="7"/>
      <c r="I15" s="7"/>
      <c r="J15" s="7"/>
      <c r="K15" s="8"/>
      <c r="L15" s="8"/>
      <c r="M15" s="8"/>
      <c r="N15" s="8"/>
      <c r="O15" s="9"/>
      <c r="P15" s="9"/>
    </row>
    <row r="16" spans="2:16" x14ac:dyDescent="0.25">
      <c r="B16" s="5"/>
      <c r="C16" s="5"/>
      <c r="D16" s="46"/>
      <c r="E16" s="47" t="str">
        <f>+I14&amp;", "&amp;J14</f>
        <v>Neto (kg): 297, Bruto (kg): 403</v>
      </c>
      <c r="F16" s="48"/>
      <c r="G16" s="7"/>
      <c r="H16" s="7"/>
      <c r="I16" s="7"/>
      <c r="J16" s="7"/>
      <c r="K16" s="8"/>
      <c r="L16" s="8"/>
      <c r="M16" s="8"/>
      <c r="N16" s="8"/>
      <c r="O16" s="9"/>
      <c r="P16" s="9"/>
    </row>
    <row r="17" spans="2:16" x14ac:dyDescent="0.25">
      <c r="B17" s="5" t="s">
        <v>15</v>
      </c>
      <c r="C17" s="5" t="s">
        <v>11</v>
      </c>
      <c r="D17" s="40" t="s">
        <v>60</v>
      </c>
      <c r="E17" s="41" t="s">
        <v>44</v>
      </c>
      <c r="F17" s="42" t="s">
        <v>72</v>
      </c>
      <c r="G17" s="7" t="str">
        <f t="shared" ref="G17" si="8">+"Dimensión (mts): "&amp;TEXT(K17,"0.00")&amp;"x"&amp;TEXT(L17,"0.00")&amp;"x"&amp;TEXT(M17,"0.00")</f>
        <v>Dimensión (mts): 1.28x1.00x2.52</v>
      </c>
      <c r="H17" s="7" t="str">
        <f t="shared" ref="H17" si="9">+"Vol (m3): "&amp;TEXT(N17,"0.00")</f>
        <v>Vol (m3): 3.23</v>
      </c>
      <c r="I17" s="7" t="str">
        <f t="shared" ref="I17" si="10">+"Neto (kg): "&amp;O17</f>
        <v>Neto (kg): 180</v>
      </c>
      <c r="J17" s="7" t="str">
        <f t="shared" ref="J17" si="11">+"Bruto (kg): "&amp;P17</f>
        <v>Bruto (kg): 286</v>
      </c>
      <c r="K17" s="8">
        <v>1.28</v>
      </c>
      <c r="L17" s="8">
        <v>1</v>
      </c>
      <c r="M17" s="8">
        <v>2.52</v>
      </c>
      <c r="N17" s="8">
        <v>3.2256</v>
      </c>
      <c r="O17" s="9">
        <v>180</v>
      </c>
      <c r="P17" s="9">
        <v>286</v>
      </c>
    </row>
    <row r="18" spans="2:16" x14ac:dyDescent="0.25">
      <c r="B18" s="5"/>
      <c r="C18" s="5"/>
      <c r="D18" s="43"/>
      <c r="E18" s="44" t="str">
        <f>+G17&amp;", "&amp;H17</f>
        <v>Dimensión (mts): 1.28x1.00x2.52, Vol (m3): 3.23</v>
      </c>
      <c r="F18" s="45"/>
      <c r="G18" s="7"/>
      <c r="H18" s="7"/>
      <c r="I18" s="7"/>
      <c r="J18" s="7"/>
      <c r="K18" s="8"/>
      <c r="L18" s="8"/>
      <c r="M18" s="8"/>
      <c r="N18" s="8"/>
      <c r="O18" s="9"/>
      <c r="P18" s="9"/>
    </row>
    <row r="19" spans="2:16" x14ac:dyDescent="0.25">
      <c r="B19" s="5"/>
      <c r="C19" s="5"/>
      <c r="D19" s="46"/>
      <c r="E19" s="47" t="str">
        <f>+I17&amp;", "&amp;J17</f>
        <v>Neto (kg): 180, Bruto (kg): 286</v>
      </c>
      <c r="F19" s="48"/>
      <c r="G19" s="7"/>
      <c r="H19" s="7"/>
      <c r="I19" s="7"/>
      <c r="J19" s="7"/>
      <c r="K19" s="8"/>
      <c r="L19" s="8"/>
      <c r="M19" s="8"/>
      <c r="N19" s="8"/>
      <c r="O19" s="9"/>
      <c r="P19" s="9"/>
    </row>
    <row r="20" spans="2:16" x14ac:dyDescent="0.25">
      <c r="B20" s="5" t="s">
        <v>17</v>
      </c>
      <c r="C20" s="5" t="s">
        <v>16</v>
      </c>
      <c r="D20" s="49" t="s">
        <v>63</v>
      </c>
      <c r="E20" s="50" t="s">
        <v>45</v>
      </c>
      <c r="F20" s="51" t="s">
        <v>72</v>
      </c>
      <c r="G20" s="7" t="str">
        <f t="shared" ref="G20" si="12">+"Dimensión (mts): "&amp;TEXT(K20,"0.00")&amp;"x"&amp;TEXT(L20,"0.00")&amp;"x"&amp;TEXT(M20,"0.00")</f>
        <v>Dimensión (mts): 1.21x1.00x2.52</v>
      </c>
      <c r="H20" s="7" t="str">
        <f t="shared" ref="H20" si="13">+"Vol (m3): "&amp;TEXT(N20,"0.00")</f>
        <v>Vol (m3): 3.05</v>
      </c>
      <c r="I20" s="7" t="str">
        <f t="shared" ref="I20" si="14">+"Neto (kg): "&amp;O20</f>
        <v>Neto (kg): 229</v>
      </c>
      <c r="J20" s="7" t="str">
        <f t="shared" ref="J20" si="15">+"Bruto (kg): "&amp;P20</f>
        <v>Bruto (kg): 335</v>
      </c>
      <c r="K20" s="8">
        <v>1.21</v>
      </c>
      <c r="L20" s="8">
        <v>1</v>
      </c>
      <c r="M20" s="8">
        <v>2.52</v>
      </c>
      <c r="N20" s="8">
        <v>3.0491999999999999</v>
      </c>
      <c r="O20" s="9">
        <v>229</v>
      </c>
      <c r="P20" s="9">
        <v>335</v>
      </c>
    </row>
    <row r="21" spans="2:16" x14ac:dyDescent="0.25">
      <c r="B21" s="5"/>
      <c r="C21" s="5"/>
      <c r="D21" s="52"/>
      <c r="E21" s="53" t="str">
        <f>+G20&amp;", "&amp;H20</f>
        <v>Dimensión (mts): 1.21x1.00x2.52, Vol (m3): 3.05</v>
      </c>
      <c r="F21" s="54"/>
      <c r="G21" s="7"/>
      <c r="H21" s="7"/>
      <c r="I21" s="7"/>
      <c r="J21" s="7"/>
      <c r="K21" s="8"/>
      <c r="L21" s="8"/>
      <c r="M21" s="8"/>
      <c r="N21" s="8"/>
      <c r="O21" s="9"/>
      <c r="P21" s="9"/>
    </row>
    <row r="22" spans="2:16" x14ac:dyDescent="0.25">
      <c r="B22" s="5"/>
      <c r="C22" s="5"/>
      <c r="D22" s="55"/>
      <c r="E22" s="56" t="str">
        <f>+I20&amp;", "&amp;J20</f>
        <v>Neto (kg): 229, Bruto (kg): 335</v>
      </c>
      <c r="F22" s="57"/>
      <c r="G22" s="7"/>
      <c r="H22" s="7"/>
      <c r="I22" s="7"/>
      <c r="J22" s="7"/>
      <c r="K22" s="8"/>
      <c r="L22" s="8"/>
      <c r="M22" s="8"/>
      <c r="N22" s="8"/>
      <c r="O22" s="9"/>
      <c r="P22" s="9"/>
    </row>
    <row r="23" spans="2:16" x14ac:dyDescent="0.25">
      <c r="B23" s="5" t="s">
        <v>18</v>
      </c>
      <c r="C23" s="5" t="s">
        <v>16</v>
      </c>
      <c r="D23" s="49" t="s">
        <v>64</v>
      </c>
      <c r="E23" s="50" t="s">
        <v>46</v>
      </c>
      <c r="F23" s="51" t="s">
        <v>72</v>
      </c>
      <c r="G23" s="7" t="str">
        <f t="shared" ref="G23" si="16">+"Dimensión (mts): "&amp;TEXT(K23,"0.00")&amp;"x"&amp;TEXT(L23,"0.00")&amp;"x"&amp;TEXT(M23,"0.00")</f>
        <v>Dimensión (mts): 1.21x1.00x2.52</v>
      </c>
      <c r="H23" s="7" t="str">
        <f t="shared" ref="H23" si="17">+"Vol (m3): "&amp;TEXT(N23,"0.00")</f>
        <v>Vol (m3): 3.05</v>
      </c>
      <c r="I23" s="7" t="str">
        <f t="shared" ref="I23" si="18">+"Neto (kg): "&amp;O23</f>
        <v>Neto (kg): 241</v>
      </c>
      <c r="J23" s="7" t="str">
        <f t="shared" ref="J23" si="19">+"Bruto (kg): "&amp;P23</f>
        <v>Bruto (kg): 347</v>
      </c>
      <c r="K23" s="8">
        <v>1.21</v>
      </c>
      <c r="L23" s="8">
        <v>1</v>
      </c>
      <c r="M23" s="8">
        <v>2.52</v>
      </c>
      <c r="N23" s="8">
        <v>3.0491999999999999</v>
      </c>
      <c r="O23" s="9">
        <v>241</v>
      </c>
      <c r="P23" s="9">
        <v>347</v>
      </c>
    </row>
    <row r="24" spans="2:16" x14ac:dyDescent="0.25">
      <c r="B24" s="5"/>
      <c r="C24" s="5"/>
      <c r="D24" s="52"/>
      <c r="E24" s="53" t="str">
        <f>+G23&amp;", "&amp;H23</f>
        <v>Dimensión (mts): 1.21x1.00x2.52, Vol (m3): 3.05</v>
      </c>
      <c r="F24" s="54"/>
      <c r="G24" s="7"/>
      <c r="H24" s="7"/>
      <c r="I24" s="7"/>
      <c r="J24" s="7"/>
      <c r="K24" s="8"/>
      <c r="L24" s="8"/>
      <c r="M24" s="8"/>
      <c r="N24" s="8"/>
      <c r="O24" s="9"/>
      <c r="P24" s="9"/>
    </row>
    <row r="25" spans="2:16" x14ac:dyDescent="0.25">
      <c r="B25" s="5"/>
      <c r="C25" s="5"/>
      <c r="D25" s="55"/>
      <c r="E25" s="56" t="str">
        <f>+I23&amp;", "&amp;J23</f>
        <v>Neto (kg): 241, Bruto (kg): 347</v>
      </c>
      <c r="F25" s="57"/>
      <c r="G25" s="7"/>
      <c r="H25" s="7"/>
      <c r="I25" s="7"/>
      <c r="J25" s="7"/>
      <c r="K25" s="8"/>
      <c r="L25" s="8"/>
      <c r="M25" s="8"/>
      <c r="N25" s="8"/>
      <c r="O25" s="9"/>
      <c r="P25" s="9"/>
    </row>
    <row r="26" spans="2:16" x14ac:dyDescent="0.25">
      <c r="B26" s="5" t="s">
        <v>20</v>
      </c>
      <c r="C26" s="5" t="s">
        <v>19</v>
      </c>
      <c r="D26" s="58" t="s">
        <v>65</v>
      </c>
      <c r="E26" s="59" t="s">
        <v>47</v>
      </c>
      <c r="F26" s="60" t="s">
        <v>72</v>
      </c>
      <c r="G26" s="7" t="str">
        <f t="shared" ref="G26" si="20">+"Dimensión (mts): "&amp;TEXT(K26,"0.00")&amp;"x"&amp;TEXT(L26,"0.00")&amp;"x"&amp;TEXT(M26,"0.00")</f>
        <v>Dimensión (mts): 1.28x1.00x2.52</v>
      </c>
      <c r="H26" s="7" t="str">
        <f t="shared" ref="H26" si="21">+"Vol (m3): "&amp;TEXT(N26,"0.00")</f>
        <v>Vol (m3): 3.23</v>
      </c>
      <c r="I26" s="7" t="str">
        <f t="shared" ref="I26" si="22">+"Neto (kg): "&amp;O26</f>
        <v>Neto (kg): 253</v>
      </c>
      <c r="J26" s="7" t="str">
        <f t="shared" ref="J26" si="23">+"Bruto (kg): "&amp;P26</f>
        <v>Bruto (kg): 359</v>
      </c>
      <c r="K26" s="8">
        <v>1.28</v>
      </c>
      <c r="L26" s="8">
        <v>1</v>
      </c>
      <c r="M26" s="8">
        <v>2.52</v>
      </c>
      <c r="N26" s="8">
        <v>3.2256</v>
      </c>
      <c r="O26" s="9">
        <v>253</v>
      </c>
      <c r="P26" s="9">
        <v>359</v>
      </c>
    </row>
    <row r="27" spans="2:16" x14ac:dyDescent="0.25">
      <c r="B27" s="5"/>
      <c r="C27" s="5"/>
      <c r="D27" s="61"/>
      <c r="E27" s="62" t="str">
        <f>+G26&amp;", "&amp;H26</f>
        <v>Dimensión (mts): 1.28x1.00x2.52, Vol (m3): 3.23</v>
      </c>
      <c r="F27" s="63"/>
      <c r="G27" s="7"/>
      <c r="H27" s="7"/>
      <c r="I27" s="7"/>
      <c r="J27" s="7"/>
      <c r="K27" s="8"/>
      <c r="L27" s="8"/>
      <c r="M27" s="8"/>
      <c r="N27" s="8"/>
      <c r="O27" s="9"/>
      <c r="P27" s="9"/>
    </row>
    <row r="28" spans="2:16" x14ac:dyDescent="0.25">
      <c r="B28" s="5"/>
      <c r="C28" s="5"/>
      <c r="D28" s="64"/>
      <c r="E28" s="65" t="str">
        <f>+I26&amp;", "&amp;J26</f>
        <v>Neto (kg): 253, Bruto (kg): 359</v>
      </c>
      <c r="F28" s="66"/>
      <c r="G28" s="7"/>
      <c r="H28" s="7"/>
      <c r="I28" s="7"/>
      <c r="J28" s="7"/>
      <c r="K28" s="8"/>
      <c r="L28" s="8"/>
      <c r="M28" s="8"/>
      <c r="N28" s="8"/>
      <c r="O28" s="9"/>
      <c r="P28" s="9"/>
    </row>
    <row r="29" spans="2:16" x14ac:dyDescent="0.25">
      <c r="B29" s="5" t="s">
        <v>22</v>
      </c>
      <c r="C29" s="5" t="s">
        <v>21</v>
      </c>
      <c r="D29" s="58" t="s">
        <v>66</v>
      </c>
      <c r="E29" s="59" t="s">
        <v>48</v>
      </c>
      <c r="F29" s="60" t="s">
        <v>72</v>
      </c>
      <c r="G29" s="7" t="str">
        <f t="shared" ref="G29" si="24">+"Dimensión (mts): "&amp;TEXT(K29,"0.00")&amp;"x"&amp;TEXT(L29,"0.00")&amp;"x"&amp;TEXT(M29,"0.00")</f>
        <v>Dimensión (mts): 1.28x1.00x2.52</v>
      </c>
      <c r="H29" s="7" t="str">
        <f t="shared" ref="H29" si="25">+"Vol (m3): "&amp;TEXT(N29,"0.00")</f>
        <v>Vol (m3): 3.23</v>
      </c>
      <c r="I29" s="7" t="str">
        <f t="shared" ref="I29" si="26">+"Neto (kg): "&amp;O29</f>
        <v>Neto (kg): 269</v>
      </c>
      <c r="J29" s="7" t="str">
        <f t="shared" ref="J29" si="27">+"Bruto (kg): "&amp;P29</f>
        <v>Bruto (kg): 375</v>
      </c>
      <c r="K29" s="8">
        <v>1.28</v>
      </c>
      <c r="L29" s="8">
        <v>1</v>
      </c>
      <c r="M29" s="8">
        <v>2.52</v>
      </c>
      <c r="N29" s="8">
        <v>3.2256</v>
      </c>
      <c r="O29" s="9">
        <v>269</v>
      </c>
      <c r="P29" s="9">
        <v>375</v>
      </c>
    </row>
    <row r="30" spans="2:16" x14ac:dyDescent="0.25">
      <c r="B30" s="5"/>
      <c r="C30" s="5"/>
      <c r="D30" s="61"/>
      <c r="E30" s="62" t="str">
        <f>+G29&amp;", "&amp;H29</f>
        <v>Dimensión (mts): 1.28x1.00x2.52, Vol (m3): 3.23</v>
      </c>
      <c r="F30" s="63"/>
      <c r="G30" s="7"/>
      <c r="H30" s="7"/>
      <c r="I30" s="7"/>
      <c r="J30" s="7"/>
      <c r="K30" s="8"/>
      <c r="L30" s="8"/>
      <c r="M30" s="8"/>
      <c r="N30" s="8"/>
      <c r="O30" s="9"/>
      <c r="P30" s="9"/>
    </row>
    <row r="31" spans="2:16" x14ac:dyDescent="0.25">
      <c r="B31" s="5"/>
      <c r="C31" s="5"/>
      <c r="D31" s="64"/>
      <c r="E31" s="65" t="str">
        <f>+I29&amp;", "&amp;J29</f>
        <v>Neto (kg): 269, Bruto (kg): 375</v>
      </c>
      <c r="F31" s="66"/>
      <c r="G31" s="7"/>
      <c r="H31" s="7"/>
      <c r="I31" s="7"/>
      <c r="J31" s="7"/>
      <c r="K31" s="8"/>
      <c r="L31" s="8"/>
      <c r="M31" s="8"/>
      <c r="N31" s="8"/>
      <c r="O31" s="9"/>
      <c r="P31" s="9"/>
    </row>
    <row r="32" spans="2:16" x14ac:dyDescent="0.25">
      <c r="B32" s="5" t="s">
        <v>24</v>
      </c>
      <c r="C32" s="5" t="s">
        <v>23</v>
      </c>
      <c r="D32" s="30" t="s">
        <v>67</v>
      </c>
      <c r="E32" s="21" t="s">
        <v>49</v>
      </c>
      <c r="F32" s="27" t="s">
        <v>72</v>
      </c>
      <c r="G32" s="7" t="str">
        <f t="shared" ref="G32" si="28">+"Dimensión (mts): "&amp;TEXT(K32,"0.00")&amp;"x"&amp;TEXT(L32,"0.00")&amp;"x"&amp;TEXT(M32,"0.00")</f>
        <v>Dimensión (mts): 1.28x1.00x2.52</v>
      </c>
      <c r="H32" s="7" t="str">
        <f t="shared" ref="H32" si="29">+"Vol (m3): "&amp;TEXT(N32,"0.00")</f>
        <v>Vol (m3): 3.23</v>
      </c>
      <c r="I32" s="7" t="str">
        <f t="shared" ref="I32" si="30">+"Neto (kg): "&amp;O32</f>
        <v>Neto (kg): 286</v>
      </c>
      <c r="J32" s="7" t="str">
        <f t="shared" ref="J32" si="31">+"Bruto (kg): "&amp;P32</f>
        <v>Bruto (kg): 392</v>
      </c>
      <c r="K32" s="8">
        <v>1.28</v>
      </c>
      <c r="L32" s="8">
        <v>1</v>
      </c>
      <c r="M32" s="8">
        <v>2.52</v>
      </c>
      <c r="N32" s="8">
        <v>3.2256</v>
      </c>
      <c r="O32" s="9">
        <v>286</v>
      </c>
      <c r="P32" s="9">
        <v>392</v>
      </c>
    </row>
    <row r="33" spans="2:16" x14ac:dyDescent="0.25">
      <c r="B33" s="5"/>
      <c r="C33" s="5"/>
      <c r="D33" s="22"/>
      <c r="E33" s="23" t="str">
        <f>+G32&amp;", "&amp;H32</f>
        <v>Dimensión (mts): 1.28x1.00x2.52, Vol (m3): 3.23</v>
      </c>
      <c r="F33" s="28"/>
      <c r="G33" s="7"/>
      <c r="H33" s="7"/>
      <c r="I33" s="7"/>
      <c r="J33" s="7"/>
      <c r="K33" s="8"/>
      <c r="L33" s="8"/>
      <c r="M33" s="8"/>
      <c r="N33" s="8"/>
      <c r="O33" s="9"/>
      <c r="P33" s="9"/>
    </row>
    <row r="34" spans="2:16" x14ac:dyDescent="0.25">
      <c r="B34" s="5"/>
      <c r="C34" s="5"/>
      <c r="D34" s="24"/>
      <c r="E34" s="25" t="str">
        <f>+I32&amp;", "&amp;J32</f>
        <v>Neto (kg): 286, Bruto (kg): 392</v>
      </c>
      <c r="F34" s="29"/>
      <c r="G34" s="7"/>
      <c r="H34" s="7"/>
      <c r="I34" s="7"/>
      <c r="J34" s="7"/>
      <c r="K34" s="8"/>
      <c r="L34" s="8"/>
      <c r="M34" s="8"/>
      <c r="N34" s="8"/>
      <c r="O34" s="9"/>
      <c r="P34" s="9"/>
    </row>
    <row r="35" spans="2:16" x14ac:dyDescent="0.25">
      <c r="B35" s="5" t="s">
        <v>26</v>
      </c>
      <c r="C35" s="5" t="s">
        <v>25</v>
      </c>
      <c r="D35" s="30" t="s">
        <v>68</v>
      </c>
      <c r="E35" s="21" t="s">
        <v>50</v>
      </c>
      <c r="F35" s="27" t="s">
        <v>72</v>
      </c>
      <c r="G35" s="7" t="str">
        <f t="shared" ref="G35" si="32">+"Dimensión (mts): "&amp;TEXT(K35,"0.00")&amp;"x"&amp;TEXT(L35,"0.00")&amp;"x"&amp;TEXT(M35,"0.00")</f>
        <v>Dimensión (mts): 1.28x1.00x2.52</v>
      </c>
      <c r="H35" s="7" t="str">
        <f t="shared" ref="H35" si="33">+"Vol (m3): "&amp;TEXT(N35,"0.00")</f>
        <v>Vol (m3): 3.23</v>
      </c>
      <c r="I35" s="7" t="str">
        <f t="shared" ref="I35" si="34">+"Neto (kg): "&amp;O35</f>
        <v>Neto (kg): 244</v>
      </c>
      <c r="J35" s="7" t="str">
        <f t="shared" ref="J35" si="35">+"Bruto (kg): "&amp;P35</f>
        <v>Bruto (kg): 350</v>
      </c>
      <c r="K35" s="8">
        <v>1.28</v>
      </c>
      <c r="L35" s="8">
        <v>1</v>
      </c>
      <c r="M35" s="8">
        <v>2.52</v>
      </c>
      <c r="N35" s="8">
        <v>3.2256</v>
      </c>
      <c r="O35" s="9">
        <v>244</v>
      </c>
      <c r="P35" s="9">
        <v>350</v>
      </c>
    </row>
    <row r="36" spans="2:16" x14ac:dyDescent="0.25">
      <c r="B36" s="5"/>
      <c r="C36" s="5"/>
      <c r="D36" s="22"/>
      <c r="E36" s="23" t="str">
        <f>+G35&amp;", "&amp;H35</f>
        <v>Dimensión (mts): 1.28x1.00x2.52, Vol (m3): 3.23</v>
      </c>
      <c r="F36" s="28"/>
      <c r="G36" s="7"/>
      <c r="H36" s="7"/>
      <c r="I36" s="7"/>
      <c r="J36" s="7"/>
      <c r="K36" s="8"/>
      <c r="L36" s="8"/>
      <c r="M36" s="8"/>
      <c r="N36" s="8"/>
      <c r="O36" s="9"/>
      <c r="P36" s="9"/>
    </row>
    <row r="37" spans="2:16" x14ac:dyDescent="0.25">
      <c r="B37" s="5"/>
      <c r="C37" s="5"/>
      <c r="D37" s="24"/>
      <c r="E37" s="25" t="str">
        <f>+I35&amp;", "&amp;J35</f>
        <v>Neto (kg): 244, Bruto (kg): 350</v>
      </c>
      <c r="F37" s="29"/>
      <c r="G37" s="7"/>
      <c r="H37" s="7"/>
      <c r="I37" s="7"/>
      <c r="J37" s="7"/>
      <c r="K37" s="8"/>
      <c r="L37" s="8"/>
      <c r="M37" s="8"/>
      <c r="N37" s="8"/>
      <c r="O37" s="9"/>
      <c r="P37" s="9"/>
    </row>
    <row r="38" spans="2:16" x14ac:dyDescent="0.25">
      <c r="B38" s="5" t="s">
        <v>28</v>
      </c>
      <c r="C38" s="5" t="s">
        <v>27</v>
      </c>
      <c r="D38" s="30" t="s">
        <v>69</v>
      </c>
      <c r="E38" s="21" t="s">
        <v>51</v>
      </c>
      <c r="F38" s="27" t="s">
        <v>72</v>
      </c>
      <c r="G38" s="7" t="str">
        <f t="shared" ref="G38" si="36">+"Dimensión (mts): "&amp;TEXT(K38,"0.00")&amp;"x"&amp;TEXT(L38,"0.00")&amp;"x"&amp;TEXT(M38,"0.00")</f>
        <v>Dimensión (mts): 1.28x1.00x2.52</v>
      </c>
      <c r="H38" s="7" t="str">
        <f t="shared" ref="H38" si="37">+"Vol (m3): "&amp;TEXT(N38,"0.00")</f>
        <v>Vol (m3): 3.23</v>
      </c>
      <c r="I38" s="7" t="str">
        <f t="shared" ref="I38" si="38">+"Neto (kg): "&amp;O38</f>
        <v>Neto (kg): 250</v>
      </c>
      <c r="J38" s="7" t="str">
        <f t="shared" ref="J38" si="39">+"Bruto (kg): "&amp;P38</f>
        <v>Bruto (kg): 356</v>
      </c>
      <c r="K38" s="8">
        <v>1.28</v>
      </c>
      <c r="L38" s="8">
        <v>1</v>
      </c>
      <c r="M38" s="8">
        <v>2.52</v>
      </c>
      <c r="N38" s="8">
        <v>3.2256</v>
      </c>
      <c r="O38" s="9">
        <v>250</v>
      </c>
      <c r="P38" s="9">
        <v>356</v>
      </c>
    </row>
    <row r="39" spans="2:16" x14ac:dyDescent="0.25">
      <c r="B39" s="5"/>
      <c r="C39" s="5"/>
      <c r="D39" s="22"/>
      <c r="E39" s="23" t="str">
        <f>+G38&amp;", "&amp;H38</f>
        <v>Dimensión (mts): 1.28x1.00x2.52, Vol (m3): 3.23</v>
      </c>
      <c r="F39" s="28"/>
      <c r="G39" s="7"/>
      <c r="H39" s="7"/>
      <c r="I39" s="7"/>
      <c r="J39" s="7"/>
      <c r="K39" s="8"/>
      <c r="L39" s="8"/>
      <c r="M39" s="8"/>
      <c r="N39" s="8"/>
      <c r="O39" s="9"/>
      <c r="P39" s="9"/>
    </row>
    <row r="40" spans="2:16" x14ac:dyDescent="0.25">
      <c r="B40" s="5"/>
      <c r="C40" s="5"/>
      <c r="D40" s="24"/>
      <c r="E40" s="25" t="str">
        <f>+I38&amp;", "&amp;J38</f>
        <v>Neto (kg): 250, Bruto (kg): 356</v>
      </c>
      <c r="F40" s="29"/>
      <c r="G40" s="7"/>
      <c r="H40" s="7"/>
      <c r="I40" s="7"/>
      <c r="J40" s="7"/>
      <c r="K40" s="8"/>
      <c r="L40" s="8"/>
      <c r="M40" s="8"/>
      <c r="N40" s="8"/>
      <c r="O40" s="9"/>
      <c r="P40" s="9"/>
    </row>
    <row r="41" spans="2:16" x14ac:dyDescent="0.25">
      <c r="B41" s="5" t="s">
        <v>31</v>
      </c>
      <c r="C41" s="5" t="s">
        <v>30</v>
      </c>
      <c r="D41" s="20">
        <v>100</v>
      </c>
      <c r="E41" s="21" t="s">
        <v>52</v>
      </c>
      <c r="F41" s="27" t="s">
        <v>72</v>
      </c>
      <c r="G41" s="7" t="str">
        <f t="shared" ref="G41" si="40">+"Dimensión (mts): "&amp;TEXT(K41,"0.00")&amp;"x"&amp;TEXT(L41,"0.00")&amp;"x"&amp;TEXT(M41,"0.00")</f>
        <v>Dimensión (mts): 1.20x1.00x1.16</v>
      </c>
      <c r="H41" s="7" t="str">
        <f t="shared" ref="H41" si="41">+"Vol (m3): "&amp;TEXT(N41,"0.00")</f>
        <v>Vol (m3): 1.39</v>
      </c>
      <c r="I41" s="7" t="str">
        <f t="shared" ref="I41" si="42">+"Neto (kg): "&amp;O41</f>
        <v>Neto (kg): 115</v>
      </c>
      <c r="J41" s="7" t="str">
        <f t="shared" ref="J41" si="43">+"Bruto (kg): "&amp;P41</f>
        <v>Bruto (kg): 165</v>
      </c>
      <c r="K41" s="8">
        <v>1.2</v>
      </c>
      <c r="L41" s="8">
        <v>1</v>
      </c>
      <c r="M41" s="8">
        <v>1.1599999999999999</v>
      </c>
      <c r="N41" s="8">
        <v>1.3919999999999999</v>
      </c>
      <c r="O41" s="9">
        <v>115</v>
      </c>
      <c r="P41" s="9">
        <v>165</v>
      </c>
    </row>
    <row r="42" spans="2:16" x14ac:dyDescent="0.25">
      <c r="B42" s="5"/>
      <c r="C42" s="5"/>
      <c r="D42" s="22"/>
      <c r="E42" s="23" t="str">
        <f>+G41&amp;", "&amp;H41</f>
        <v>Dimensión (mts): 1.20x1.00x1.16, Vol (m3): 1.39</v>
      </c>
      <c r="F42" s="28"/>
      <c r="G42" s="7"/>
      <c r="H42" s="7"/>
      <c r="I42" s="7"/>
      <c r="J42" s="7"/>
      <c r="K42" s="8"/>
      <c r="L42" s="8"/>
      <c r="M42" s="8"/>
      <c r="N42" s="8"/>
      <c r="O42" s="9"/>
      <c r="P42" s="9"/>
    </row>
    <row r="43" spans="2:16" x14ac:dyDescent="0.25">
      <c r="B43" s="5"/>
      <c r="C43" s="5"/>
      <c r="D43" s="24"/>
      <c r="E43" s="25" t="str">
        <f>+I41&amp;", "&amp;J41</f>
        <v>Neto (kg): 115, Bruto (kg): 165</v>
      </c>
      <c r="F43" s="29"/>
      <c r="G43" s="7"/>
      <c r="H43" s="7"/>
      <c r="I43" s="7"/>
      <c r="J43" s="7"/>
      <c r="K43" s="8"/>
      <c r="L43" s="8"/>
      <c r="M43" s="8"/>
      <c r="N43" s="8"/>
      <c r="O43" s="9"/>
      <c r="P43" s="9"/>
    </row>
    <row r="44" spans="2:16" x14ac:dyDescent="0.25">
      <c r="B44" s="5" t="s">
        <v>33</v>
      </c>
      <c r="C44" s="5" t="s">
        <v>32</v>
      </c>
      <c r="D44" s="20">
        <v>110</v>
      </c>
      <c r="E44" s="21" t="s">
        <v>53</v>
      </c>
      <c r="F44" s="27" t="s">
        <v>72</v>
      </c>
      <c r="G44" s="7" t="str">
        <f t="shared" ref="G44" si="44">+"Dimensión (mts): "&amp;TEXT(K44,"0.00")&amp;"x"&amp;TEXT(L44,"0.00")&amp;"x"&amp;TEXT(M44,"0.00")</f>
        <v>Dimensión (mts): 1.20x1.00x0.49</v>
      </c>
      <c r="H44" s="7" t="str">
        <f t="shared" ref="H44" si="45">+"Vol (m3): "&amp;TEXT(N44,"0.00")</f>
        <v>Vol (m3): 0.59</v>
      </c>
      <c r="I44" s="7" t="str">
        <f t="shared" ref="I44" si="46">+"Neto (kg): "&amp;O44</f>
        <v>Neto (kg): 42</v>
      </c>
      <c r="J44" s="7" t="str">
        <f t="shared" ref="J44" si="47">+"Bruto (kg): "&amp;P44</f>
        <v>Bruto (kg): 92</v>
      </c>
      <c r="K44" s="8">
        <v>1.2</v>
      </c>
      <c r="L44" s="8">
        <v>1</v>
      </c>
      <c r="M44" s="8">
        <v>0.49</v>
      </c>
      <c r="N44" s="8">
        <v>0.58799999999999997</v>
      </c>
      <c r="O44" s="9">
        <v>42</v>
      </c>
      <c r="P44" s="9">
        <v>92</v>
      </c>
    </row>
    <row r="45" spans="2:16" x14ac:dyDescent="0.25">
      <c r="B45" s="5"/>
      <c r="C45" s="5"/>
      <c r="D45" s="22"/>
      <c r="E45" s="23" t="str">
        <f>+G44&amp;", "&amp;H44</f>
        <v>Dimensión (mts): 1.20x1.00x0.49, Vol (m3): 0.59</v>
      </c>
      <c r="F45" s="28"/>
      <c r="G45" s="7"/>
      <c r="H45" s="7"/>
      <c r="I45" s="7"/>
      <c r="J45" s="7"/>
      <c r="K45" s="8"/>
      <c r="L45" s="8"/>
      <c r="M45" s="8"/>
      <c r="N45" s="8"/>
      <c r="O45" s="9"/>
      <c r="P45" s="9"/>
    </row>
    <row r="46" spans="2:16" x14ac:dyDescent="0.25">
      <c r="B46" s="5"/>
      <c r="C46" s="5"/>
      <c r="D46" s="24"/>
      <c r="E46" s="25" t="str">
        <f>+I44&amp;", "&amp;J44</f>
        <v>Neto (kg): 42, Bruto (kg): 92</v>
      </c>
      <c r="F46" s="29"/>
      <c r="G46" s="7"/>
      <c r="H46" s="7"/>
      <c r="I46" s="7"/>
      <c r="J46" s="7"/>
      <c r="K46" s="8"/>
      <c r="L46" s="8"/>
      <c r="M46" s="8"/>
      <c r="N46" s="8"/>
      <c r="O46" s="9"/>
      <c r="P46" s="9"/>
    </row>
    <row r="47" spans="2:16" x14ac:dyDescent="0.25">
      <c r="B47" s="5" t="s">
        <v>34</v>
      </c>
      <c r="C47" s="5" t="s">
        <v>19</v>
      </c>
      <c r="D47" s="20" t="s">
        <v>70</v>
      </c>
      <c r="E47" s="21" t="s">
        <v>54</v>
      </c>
      <c r="F47" s="27" t="s">
        <v>72</v>
      </c>
      <c r="G47" s="7" t="str">
        <f t="shared" ref="G47" si="48">+"Dimensión (mts): "&amp;TEXT(K47,"0.00")&amp;"x"&amp;TEXT(L47,"0.00")&amp;"x"&amp;TEXT(M47,"0.00")</f>
        <v>Dimensión (mts): 1.20x1.00x1.43</v>
      </c>
      <c r="H47" s="7" t="str">
        <f t="shared" ref="H47" si="49">+"Vol (m3): "&amp;TEXT(N47,"0.00")</f>
        <v>Vol (m3): 1.72</v>
      </c>
      <c r="I47" s="7" t="str">
        <f t="shared" ref="I47" si="50">+"Neto (kg): "&amp;O47</f>
        <v>Neto (kg): 338</v>
      </c>
      <c r="J47" s="7" t="str">
        <f t="shared" ref="J47" si="51">+"Bruto (kg): "&amp;P47</f>
        <v>Bruto (kg): 403</v>
      </c>
      <c r="K47" s="8">
        <v>1.2</v>
      </c>
      <c r="L47" s="8">
        <v>1</v>
      </c>
      <c r="M47" s="8">
        <v>1.43</v>
      </c>
      <c r="N47" s="8">
        <v>1.716</v>
      </c>
      <c r="O47" s="9">
        <v>338</v>
      </c>
      <c r="P47" s="9">
        <v>403</v>
      </c>
    </row>
    <row r="48" spans="2:16" x14ac:dyDescent="0.25">
      <c r="B48" s="5" t="s">
        <v>35</v>
      </c>
      <c r="C48" s="5" t="s">
        <v>21</v>
      </c>
      <c r="D48" s="22"/>
      <c r="E48" s="23" t="str">
        <f>+G47&amp;", "&amp;H47</f>
        <v>Dimensión (mts): 1.20x1.00x1.43, Vol (m3): 1.72</v>
      </c>
      <c r="F48" s="28"/>
      <c r="G48" s="7"/>
      <c r="H48" s="7"/>
      <c r="I48" s="7"/>
      <c r="J48" s="7"/>
      <c r="K48" s="8"/>
      <c r="L48" s="8"/>
      <c r="M48" s="8"/>
      <c r="N48" s="8"/>
      <c r="O48" s="9"/>
      <c r="P48" s="9"/>
    </row>
    <row r="49" spans="2:16" x14ac:dyDescent="0.25">
      <c r="B49" s="5" t="s">
        <v>36</v>
      </c>
      <c r="C49" s="5" t="s">
        <v>23</v>
      </c>
      <c r="D49" s="24"/>
      <c r="E49" s="25" t="str">
        <f>+I47&amp;", "&amp;J47</f>
        <v>Neto (kg): 338, Bruto (kg): 403</v>
      </c>
      <c r="F49" s="29"/>
      <c r="G49" s="7"/>
      <c r="H49" s="7"/>
      <c r="I49" s="7"/>
      <c r="J49" s="7"/>
      <c r="K49" s="8"/>
      <c r="L49" s="8"/>
      <c r="M49" s="8"/>
      <c r="N49" s="8"/>
      <c r="O49" s="9"/>
      <c r="P49" s="9"/>
    </row>
    <row r="50" spans="2:16" x14ac:dyDescent="0.25">
      <c r="B50" s="5" t="s">
        <v>37</v>
      </c>
      <c r="C50" s="5" t="s">
        <v>25</v>
      </c>
      <c r="D50" s="20" t="s">
        <v>71</v>
      </c>
      <c r="E50" s="21" t="s">
        <v>55</v>
      </c>
      <c r="F50" s="27" t="s">
        <v>72</v>
      </c>
      <c r="G50" s="7" t="str">
        <f t="shared" ref="G50" si="52">+"Dimensión (mts): "&amp;TEXT(K50,"0.00")&amp;"x"&amp;TEXT(L50,"0.00")&amp;"x"&amp;TEXT(M50,"0.00")</f>
        <v>Dimensión (mts): 1.20x1.00x1.43</v>
      </c>
      <c r="H50" s="7" t="str">
        <f t="shared" ref="H50" si="53">+"Vol (m3): "&amp;TEXT(N50,"0.00")</f>
        <v>Vol (m3): 1.72</v>
      </c>
      <c r="I50" s="7" t="str">
        <f t="shared" ref="I50" si="54">+"Neto (kg): "&amp;O50</f>
        <v>Neto (kg): 326</v>
      </c>
      <c r="J50" s="7" t="str">
        <f t="shared" ref="J50" si="55">+"Bruto (kg): "&amp;P50</f>
        <v>Bruto (kg): 391</v>
      </c>
      <c r="K50" s="8">
        <v>1.2</v>
      </c>
      <c r="L50" s="8">
        <v>1</v>
      </c>
      <c r="M50" s="8">
        <v>1.43</v>
      </c>
      <c r="N50" s="8">
        <v>1.716</v>
      </c>
      <c r="O50" s="9">
        <v>326</v>
      </c>
      <c r="P50" s="9">
        <v>391</v>
      </c>
    </row>
    <row r="51" spans="2:16" x14ac:dyDescent="0.25">
      <c r="B51" s="5" t="s">
        <v>38</v>
      </c>
      <c r="C51" s="5" t="s">
        <v>27</v>
      </c>
      <c r="D51" s="22"/>
      <c r="E51" s="23" t="str">
        <f>+G50&amp;", "&amp;H50</f>
        <v>Dimensión (mts): 1.20x1.00x1.43, Vol (m3): 1.72</v>
      </c>
      <c r="F51" s="28"/>
      <c r="G51" s="7"/>
      <c r="H51" s="7"/>
      <c r="I51" s="7"/>
      <c r="J51" s="7"/>
      <c r="K51" s="8"/>
      <c r="L51" s="8"/>
      <c r="M51" s="8"/>
      <c r="N51" s="8"/>
      <c r="O51" s="9"/>
      <c r="P51" s="9"/>
    </row>
    <row r="52" spans="2:16" x14ac:dyDescent="0.25">
      <c r="B52" s="5" t="s">
        <v>39</v>
      </c>
      <c r="C52" s="5" t="s">
        <v>29</v>
      </c>
      <c r="D52" s="24"/>
      <c r="E52" s="25" t="str">
        <f>+I50&amp;", "&amp;J50</f>
        <v>Neto (kg): 326, Bruto (kg): 391</v>
      </c>
      <c r="F52" s="29"/>
      <c r="G52" s="7"/>
      <c r="H52" s="7"/>
      <c r="I52" s="7"/>
      <c r="J52" s="7"/>
      <c r="K52" s="8"/>
      <c r="L52" s="8"/>
      <c r="M52" s="8"/>
      <c r="N52" s="8"/>
      <c r="O52" s="9"/>
      <c r="P52" s="9"/>
    </row>
    <row r="53" spans="2:16" x14ac:dyDescent="0.25">
      <c r="B53" s="1"/>
    </row>
    <row r="54" spans="2:16" x14ac:dyDescent="0.25">
      <c r="B54" s="1"/>
    </row>
    <row r="55" spans="2:16" x14ac:dyDescent="0.25">
      <c r="B55" s="1"/>
    </row>
    <row r="56" spans="2:16" x14ac:dyDescent="0.25">
      <c r="B56" s="1"/>
    </row>
    <row r="57" spans="2:16" x14ac:dyDescent="0.25">
      <c r="B57" s="1"/>
    </row>
  </sheetData>
  <conditionalFormatting sqref="K5:N7 K8:P52">
    <cfRule type="expression" dxfId="0" priority="29">
      <formula>"&lt;1"</formula>
    </cfRule>
  </conditionalFormatting>
  <pageMargins left="0.25" right="0.25" top="0.75" bottom="0.75" header="0.3" footer="0.3"/>
  <pageSetup paperSize="9" scale="97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5AF149-E308-48D9-A780-105BAB679F25}"/>
</file>

<file path=customXml/itemProps2.xml><?xml version="1.0" encoding="utf-8"?>
<ds:datastoreItem xmlns:ds="http://schemas.openxmlformats.org/officeDocument/2006/customXml" ds:itemID="{E18B3EFF-0346-4305-9D11-C0EC6D8BA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Teic</vt:lpstr>
      <vt:lpstr>Teic!Área_de_impresión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Leopoldo Fernandez Suarez</dc:creator>
  <cp:lastModifiedBy>Carolina Cabrera</cp:lastModifiedBy>
  <cp:lastPrinted>2023-12-13T21:41:51Z</cp:lastPrinted>
  <dcterms:created xsi:type="dcterms:W3CDTF">2023-12-13T21:29:52Z</dcterms:created>
  <dcterms:modified xsi:type="dcterms:W3CDTF">2023-12-20T18:15:18Z</dcterms:modified>
</cp:coreProperties>
</file>