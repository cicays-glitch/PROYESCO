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rsmchilespa-my.sharepoint.com/personal/valentina_ayala_rsmchile_cl/Documents/Perfil/Desktop/CLIENTES/19.PROYESCO CHILE SPA/Bco/2023 12 Diciembre/"/>
    </mc:Choice>
  </mc:AlternateContent>
  <xr:revisionPtr revIDLastSave="134" documentId="8_{FD899A77-EED5-4A0E-ACC8-148EB7893164}" xr6:coauthVersionLast="47" xr6:coauthVersionMax="47" xr10:uidLastSave="{D8B61987-AD92-4351-89B1-4D4D4FE433D7}"/>
  <bookViews>
    <workbookView xWindow="-120" yWindow="-120" windowWidth="20640" windowHeight="11040" xr2:uid="{00000000-000D-0000-FFFF-FFFF00000000}"/>
  </bookViews>
  <sheets>
    <sheet name="CARTOLA" sheetId="7" r:id="rId1"/>
    <sheet name="RECEPCI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7" l="1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8" i="7"/>
  <c r="F35" i="7" l="1"/>
  <c r="F33" i="7"/>
  <c r="E33" i="7"/>
</calcChain>
</file>

<file path=xl/sharedStrings.xml><?xml version="1.0" encoding="utf-8"?>
<sst xmlns="http://schemas.openxmlformats.org/spreadsheetml/2006/main" count="90" uniqueCount="58">
  <si>
    <t>Glosa</t>
  </si>
  <si>
    <t>Cta</t>
  </si>
  <si>
    <t>Nro Cta</t>
  </si>
  <si>
    <t>Cta 2</t>
  </si>
  <si>
    <t>Nro Cta 2</t>
  </si>
  <si>
    <t>ASIGNACION</t>
  </si>
  <si>
    <t>OBSERVACION</t>
  </si>
  <si>
    <t>D</t>
  </si>
  <si>
    <t>H</t>
  </si>
  <si>
    <r>
      <rPr>
        <sz val="7"/>
        <rFont val="Arial MT"/>
        <family val="2"/>
      </rPr>
      <t>Abono Compra/venta Div. Web</t>
    </r>
  </si>
  <si>
    <r>
      <rPr>
        <b/>
        <sz val="7"/>
        <color rgb="FFFFFFFF"/>
        <rFont val="Arial"/>
        <family val="2"/>
      </rPr>
      <t>Saldo diario</t>
    </r>
  </si>
  <si>
    <r>
      <rPr>
        <b/>
        <sz val="7"/>
        <color rgb="FFFFFFFF"/>
        <rFont val="Arial"/>
        <family val="2"/>
      </rPr>
      <t>Giros o cargos</t>
    </r>
  </si>
  <si>
    <r>
      <rPr>
        <b/>
        <sz val="7"/>
        <color rgb="FFFFFFFF"/>
        <rFont val="Arial"/>
        <family val="2"/>
      </rPr>
      <t>Depósitos o abonos</t>
    </r>
  </si>
  <si>
    <r>
      <rPr>
        <b/>
        <sz val="7"/>
        <color rgb="FFFFFFFF"/>
        <rFont val="Arial"/>
        <family val="2"/>
      </rPr>
      <t>Descripción</t>
    </r>
  </si>
  <si>
    <r>
      <rPr>
        <b/>
        <sz val="7"/>
        <color rgb="FFFFFFFF"/>
        <rFont val="Arial"/>
        <family val="2"/>
      </rPr>
      <t>Sucursal</t>
    </r>
  </si>
  <si>
    <r>
      <rPr>
        <b/>
        <sz val="7"/>
        <color rgb="FFFFFFFF"/>
        <rFont val="Arial"/>
        <family val="2"/>
      </rPr>
      <t>Nº Operación</t>
    </r>
  </si>
  <si>
    <r>
      <rPr>
        <b/>
        <sz val="7"/>
        <color rgb="FFFFFFFF"/>
        <rFont val="Arial"/>
        <family val="2"/>
      </rPr>
      <t>Fecha</t>
    </r>
  </si>
  <si>
    <r>
      <rPr>
        <b/>
        <sz val="9"/>
        <rFont val="Arial"/>
        <family val="2"/>
      </rPr>
      <t>Movimientos</t>
    </r>
  </si>
  <si>
    <r>
      <rPr>
        <sz val="8"/>
        <rFont val="Arial MT"/>
        <family val="2"/>
      </rPr>
      <t xml:space="preserve">Moneda                                       Monto línea de crédito                                            Monto utilizado
</t>
    </r>
    <r>
      <rPr>
        <sz val="8"/>
        <rFont val="Arial MT"/>
        <family val="2"/>
      </rPr>
      <t xml:space="preserve">Peso chileno                                                   </t>
    </r>
    <r>
      <rPr>
        <vertAlign val="superscript"/>
        <sz val="8"/>
        <rFont val="Arial MT"/>
        <family val="2"/>
      </rPr>
      <t>$0                                                                      $0</t>
    </r>
  </si>
  <si>
    <r>
      <rPr>
        <b/>
        <sz val="9"/>
        <rFont val="Arial"/>
        <family val="2"/>
      </rPr>
      <t>Estado de Cuenta Corriente</t>
    </r>
  </si>
  <si>
    <r>
      <rPr>
        <sz val="7"/>
        <rFont val="Arial MT"/>
        <family val="2"/>
      </rPr>
      <t>Comision Mantencion Cta Corrie</t>
    </r>
  </si>
  <si>
    <r>
      <rPr>
        <sz val="7"/>
        <rFont val="Arial MT"/>
        <family val="2"/>
      </rPr>
      <t>Impuesto Al Valor Agregado</t>
    </r>
  </si>
  <si>
    <r>
      <rPr>
        <sz val="7"/>
        <rFont val="Arial MT"/>
        <family val="2"/>
      </rPr>
      <t>Pago Efectuado A Proveedores</t>
    </r>
  </si>
  <si>
    <r>
      <rPr>
        <sz val="7"/>
        <rFont val="Arial MT"/>
        <family val="2"/>
      </rPr>
      <t>Compra/venta Divisas Sucursal</t>
    </r>
  </si>
  <si>
    <r>
      <rPr>
        <b/>
        <sz val="9"/>
        <rFont val="Arial"/>
        <family val="2"/>
      </rPr>
      <t>Resumen de Saldos</t>
    </r>
  </si>
  <si>
    <r>
      <rPr>
        <sz val="8"/>
        <rFont val="Arial MT"/>
        <family val="2"/>
      </rPr>
      <t>Total cargos</t>
    </r>
  </si>
  <si>
    <r>
      <rPr>
        <sz val="8"/>
        <rFont val="Arial MT"/>
        <family val="2"/>
      </rPr>
      <t>Total Abono</t>
    </r>
  </si>
  <si>
    <r>
      <rPr>
        <sz val="8"/>
        <rFont val="Arial MT"/>
        <family val="2"/>
      </rPr>
      <t>Pago productos mismo Banco</t>
    </r>
  </si>
  <si>
    <r>
      <rPr>
        <sz val="8"/>
        <rFont val="Arial MT"/>
        <family val="2"/>
      </rPr>
      <t xml:space="preserve">Saldo promedio
</t>
    </r>
    <r>
      <rPr>
        <sz val="8"/>
        <rFont val="Arial MT"/>
        <family val="2"/>
      </rPr>
      <t>últimos tres meses</t>
    </r>
  </si>
  <si>
    <r>
      <rPr>
        <sz val="7"/>
        <rFont val="Arial MT"/>
        <family val="2"/>
      </rPr>
      <t>28/12</t>
    </r>
  </si>
  <si>
    <r>
      <rPr>
        <sz val="7"/>
        <rFont val="Arial MT"/>
        <family val="2"/>
      </rPr>
      <t>21/12</t>
    </r>
  </si>
  <si>
    <r>
      <rPr>
        <sz val="7"/>
        <rFont val="Arial MT"/>
        <family val="2"/>
      </rPr>
      <t>1z17e4v30410894414</t>
    </r>
  </si>
  <si>
    <r>
      <rPr>
        <sz val="7"/>
        <rFont val="Arial MT"/>
        <family val="2"/>
      </rPr>
      <t>18/12</t>
    </r>
  </si>
  <si>
    <r>
      <rPr>
        <sz val="7"/>
        <rFont val="Arial MT"/>
        <family val="2"/>
      </rPr>
      <t>Transferencia De Grupo Monteca</t>
    </r>
  </si>
  <si>
    <r>
      <rPr>
        <sz val="7"/>
        <rFont val="Arial MT"/>
        <family val="2"/>
      </rPr>
      <t>15/12</t>
    </r>
  </si>
  <si>
    <r>
      <rPr>
        <sz val="7"/>
        <rFont val="Arial MT"/>
        <family val="2"/>
      </rPr>
      <t>13/12</t>
    </r>
  </si>
  <si>
    <r>
      <rPr>
        <sz val="7"/>
        <rFont val="Arial MT"/>
        <family val="2"/>
      </rPr>
      <t>11/12</t>
    </r>
  </si>
  <si>
    <r>
      <rPr>
        <sz val="7"/>
        <rFont val="Arial MT"/>
        <family val="2"/>
      </rPr>
      <t>07/12</t>
    </r>
  </si>
  <si>
    <r>
      <rPr>
        <sz val="7"/>
        <rFont val="Arial MT"/>
        <family val="2"/>
      </rPr>
      <t>Com Pag Masivos Proveedores</t>
    </r>
  </si>
  <si>
    <r>
      <rPr>
        <sz val="7"/>
        <rFont val="Arial MT"/>
        <family val="2"/>
      </rPr>
      <t>Pesco</t>
    </r>
  </si>
  <si>
    <r>
      <rPr>
        <sz val="7"/>
        <rFont val="Arial MT"/>
        <family val="2"/>
      </rPr>
      <t>01/12</t>
    </r>
  </si>
  <si>
    <r>
      <rPr>
        <sz val="8"/>
        <rFont val="Arial MT"/>
        <family val="2"/>
      </rPr>
      <t xml:space="preserve">Monto disponible                                  Fecha vencimiento                                  Saldo anterior cuenta corriente
</t>
    </r>
    <r>
      <rPr>
        <sz val="8"/>
        <rFont val="Arial MT"/>
        <family val="2"/>
      </rPr>
      <t>$0                                                                                                                               $953.731</t>
    </r>
  </si>
  <si>
    <r>
      <rPr>
        <sz val="7"/>
        <rFont val="Arial MT"/>
        <family val="2"/>
      </rPr>
      <t xml:space="preserve">Nombre                       : Proyesco Chile Spa
</t>
    </r>
    <r>
      <rPr>
        <sz val="7"/>
        <rFont val="Arial MT"/>
        <family val="2"/>
      </rPr>
      <t xml:space="preserve">Dirección                     : Cruz Del Sur 133 Depto 401 Piso4                           Número de cuenta             0225086002
</t>
    </r>
    <r>
      <rPr>
        <sz val="7"/>
        <rFont val="Arial MT"/>
        <family val="2"/>
      </rPr>
      <t xml:space="preserve">Comuna                      : Las Condes                                                               Estado Número                  13
</t>
    </r>
    <r>
      <rPr>
        <sz val="7"/>
        <rFont val="Arial MT"/>
        <family val="2"/>
      </rPr>
      <t xml:space="preserve">Ciudad                         : Santiago                                                                    Período                            : 01/12/2023 - 29/12/2023
</t>
    </r>
    <r>
      <rPr>
        <sz val="7"/>
        <rFont val="Arial MT"/>
        <family val="2"/>
      </rPr>
      <t xml:space="preserve">Código Postal              : 7580151                                                                    Email cliente                     :
</t>
    </r>
    <r>
      <rPr>
        <sz val="7"/>
        <rFont val="Arial MT"/>
        <family val="2"/>
      </rPr>
      <t xml:space="preserve">Ejecutivo                     : Lorena Alejandra Vasquez Fernandez                      Teléfono                             0026860222
</t>
    </r>
    <r>
      <rPr>
        <sz val="7"/>
        <rFont val="Arial MT"/>
        <family val="2"/>
      </rPr>
      <t xml:space="preserve">Sucursal                      : Rosario Norte - Riesco                                              Fax                                     0006860000
</t>
    </r>
    <r>
      <rPr>
        <sz val="7"/>
        <rFont val="Arial MT"/>
        <family val="2"/>
      </rPr>
      <t>Dirección                     : Rosario Norte 660 #                                                  Email                                : LORENA.VASQUEZ@ITAU.CL</t>
    </r>
  </si>
  <si>
    <r>
      <rPr>
        <b/>
        <sz val="9"/>
        <rFont val="Arial"/>
        <family val="2"/>
      </rPr>
      <t xml:space="preserve">Cuenta Corriente 0225086002                                                                                                        </t>
    </r>
    <r>
      <rPr>
        <sz val="9"/>
        <rFont val="Arial MT"/>
        <family val="2"/>
      </rPr>
      <t xml:space="preserve">02/01/2024 15:04:12
</t>
    </r>
    <r>
      <rPr>
        <b/>
        <sz val="9"/>
        <rFont val="Arial"/>
        <family val="2"/>
      </rPr>
      <t>Cartola Histórica                                              Período</t>
    </r>
    <r>
      <rPr>
        <sz val="9"/>
        <rFont val="Arial MT"/>
        <family val="2"/>
      </rPr>
      <t>: 01/12/2023 - 29/12/2023</t>
    </r>
  </si>
  <si>
    <r>
      <rPr>
        <sz val="7"/>
        <rFont val="Arial MT"/>
        <family val="2"/>
      </rPr>
      <t>Fc 1331 Proyesco</t>
    </r>
  </si>
  <si>
    <r>
      <rPr>
        <sz val="7"/>
        <rFont val="Arial MT"/>
        <family val="2"/>
      </rPr>
      <t>Pasajes Proyesco</t>
    </r>
  </si>
  <si>
    <r>
      <rPr>
        <sz val="7"/>
        <rFont val="Arial MT"/>
        <family val="2"/>
      </rPr>
      <t>Depto Proyesco</t>
    </r>
  </si>
  <si>
    <r>
      <rPr>
        <sz val="7"/>
        <rFont val="Arial MT"/>
        <family val="2"/>
      </rPr>
      <t>29/12</t>
    </r>
  </si>
  <si>
    <t>OTROS DEUDORES MENORES CLP</t>
  </si>
  <si>
    <t xml:space="preserve">EXPLIACION DE POR QUE COMPRAN EN SUCURSAL </t>
  </si>
  <si>
    <t>PROVEEDORES EN CLP</t>
  </si>
  <si>
    <t>ANTICIPO PROVEEDORES CLP</t>
  </si>
  <si>
    <t>COMPENSADO</t>
  </si>
  <si>
    <t xml:space="preserve">EXPLICACION DE QUE FACTURAS PAGA </t>
  </si>
  <si>
    <t xml:space="preserve">EXPLICACION DE POR QUE SE DEVUELVE DINERO </t>
  </si>
  <si>
    <t>EXPLICACION DE QUE SE TRATA EL CARGO</t>
  </si>
  <si>
    <t>Fc 128040 Proyesco</t>
  </si>
  <si>
    <t xml:space="preserve">EXPLICACION DE POR QUE COMPRAN EN SUCURSAL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</si>
</sst>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0"/>
    <numFmt numFmtId="166" formatCode="0000"/>
    <numFmt numFmtId="167" formatCode="000000000"/>
  </numFmts>
  <fonts count="14">
    <font>
      <sz val="11"/>
      <color indexed="8"/>
      <name val="Calibri"/>
      <family val="2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sz val="7"/>
      <color rgb="FF000000"/>
      <name val="Arial MT"/>
      <family val="2"/>
    </font>
    <font>
      <sz val="7"/>
      <name val="Arial MT"/>
    </font>
    <font>
      <sz val="7"/>
      <name val="Arial MT"/>
      <family val="2"/>
    </font>
    <font>
      <b/>
      <sz val="7"/>
      <name val="Arial"/>
      <family val="2"/>
    </font>
    <font>
      <b/>
      <sz val="7"/>
      <color rgb="FFFFFFFF"/>
      <name val="Arial"/>
      <family val="2"/>
    </font>
    <font>
      <b/>
      <sz val="9"/>
      <name val="Arial"/>
      <family val="2"/>
    </font>
    <font>
      <sz val="8"/>
      <name val="Arial MT"/>
      <family val="2"/>
    </font>
    <font>
      <vertAlign val="superscript"/>
      <sz val="8"/>
      <name val="Arial MT"/>
      <family val="2"/>
    </font>
    <font>
      <sz val="9"/>
      <name val="Arial MT"/>
      <family val="2"/>
    </font>
    <font>
      <sz val="8"/>
      <name val="Arial MT"/>
    </font>
    <font>
      <sz val="8"/>
      <color rgb="FF000000"/>
      <name val="Arial MT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6F6F6"/>
      </patternFill>
    </fill>
    <fill>
      <patternFill patternType="solid">
        <fgColor rgb="FF022B59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8">
    <xf numFmtId="0" fontId="0" fillId="0" borderId="0" xfId="0"/>
    <xf numFmtId="0" fontId="2" fillId="3" borderId="0" xfId="0" applyFont="1" applyFill="1" applyAlignment="1">
      <alignment horizontal="left" vertical="top"/>
    </xf>
    <xf numFmtId="0" fontId="2" fillId="0" borderId="0" xfId="1" applyAlignment="1">
      <alignment horizontal="left" vertical="top"/>
    </xf>
    <xf numFmtId="0" fontId="6" fillId="5" borderId="0" xfId="1" applyFont="1" applyFill="1" applyAlignment="1">
      <alignment horizontal="right" vertical="top" wrapText="1"/>
    </xf>
    <xf numFmtId="0" fontId="6" fillId="5" borderId="0" xfId="1" applyFont="1" applyFill="1" applyAlignment="1">
      <alignment horizontal="right" vertical="top" wrapText="1" indent="1"/>
    </xf>
    <xf numFmtId="0" fontId="6" fillId="5" borderId="0" xfId="1" applyFont="1" applyFill="1" applyAlignment="1">
      <alignment horizontal="left" vertical="top" wrapText="1" indent="2"/>
    </xf>
    <xf numFmtId="0" fontId="6" fillId="5" borderId="0" xfId="1" applyFont="1" applyFill="1" applyAlignment="1">
      <alignment horizontal="left" vertical="top" wrapText="1" indent="1"/>
    </xf>
    <xf numFmtId="0" fontId="6" fillId="5" borderId="0" xfId="1" applyFont="1" applyFill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2" fillId="6" borderId="0" xfId="0" applyFont="1" applyFill="1" applyAlignment="1">
      <alignment horizontal="left" vertical="top"/>
    </xf>
    <xf numFmtId="164" fontId="2" fillId="0" borderId="0" xfId="1" applyNumberFormat="1" applyAlignment="1">
      <alignment horizontal="left" vertical="top"/>
    </xf>
    <xf numFmtId="0" fontId="1" fillId="2" borderId="0" xfId="0" applyFont="1" applyFill="1"/>
    <xf numFmtId="0" fontId="0" fillId="0" borderId="0" xfId="0" applyAlignment="1">
      <alignment horizontal="left" vertical="top"/>
    </xf>
    <xf numFmtId="0" fontId="12" fillId="4" borderId="0" xfId="0" applyFont="1" applyFill="1" applyAlignment="1">
      <alignment vertical="top" wrapText="1"/>
    </xf>
    <xf numFmtId="164" fontId="13" fillId="4" borderId="0" xfId="0" applyNumberFormat="1" applyFont="1" applyFill="1" applyAlignment="1">
      <alignment vertical="top" shrinkToFit="1"/>
    </xf>
    <xf numFmtId="165" fontId="13" fillId="4" borderId="0" xfId="0" applyNumberFormat="1" applyFont="1" applyFill="1" applyAlignment="1">
      <alignment vertical="top" shrinkToFit="1"/>
    </xf>
    <xf numFmtId="0" fontId="0" fillId="4" borderId="0" xfId="0" applyFill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horizontal="left" vertical="top"/>
    </xf>
    <xf numFmtId="164" fontId="13" fillId="0" borderId="0" xfId="0" applyNumberFormat="1" applyFont="1" applyFill="1" applyAlignment="1">
      <alignment vertical="top" shrinkToFit="1"/>
    </xf>
    <xf numFmtId="0" fontId="8" fillId="0" borderId="0" xfId="0" applyFont="1" applyAlignment="1">
      <alignment horizontal="left" vertical="top" wrapText="1"/>
    </xf>
    <xf numFmtId="0" fontId="2" fillId="0" borderId="0" xfId="1" applyAlignment="1">
      <alignment horizontal="left" wrapText="1"/>
    </xf>
    <xf numFmtId="0" fontId="2" fillId="0" borderId="0" xfId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2" fillId="4" borderId="0" xfId="1" applyFill="1" applyAlignment="1">
      <alignment horizontal="left" vertical="top" wrapText="1"/>
    </xf>
    <xf numFmtId="0" fontId="2" fillId="4" borderId="0" xfId="1" applyFill="1" applyAlignment="1">
      <alignment horizontal="center" vertical="top" wrapText="1"/>
    </xf>
    <xf numFmtId="0" fontId="4" fillId="6" borderId="0" xfId="1" applyFont="1" applyFill="1" applyAlignment="1">
      <alignment horizontal="left" vertical="top" wrapText="1"/>
    </xf>
    <xf numFmtId="167" fontId="3" fillId="6" borderId="0" xfId="1" applyNumberFormat="1" applyFont="1" applyFill="1" applyAlignment="1">
      <alignment horizontal="left" vertical="top" shrinkToFit="1"/>
    </xf>
    <xf numFmtId="166" fontId="3" fillId="6" borderId="0" xfId="1" applyNumberFormat="1" applyFont="1" applyFill="1" applyAlignment="1">
      <alignment horizontal="left" vertical="top" indent="1" shrinkToFit="1"/>
    </xf>
    <xf numFmtId="0" fontId="4" fillId="6" borderId="0" xfId="1" applyFont="1" applyFill="1" applyAlignment="1">
      <alignment horizontal="left" vertical="top" wrapText="1" indent="1"/>
    </xf>
    <xf numFmtId="164" fontId="3" fillId="6" borderId="0" xfId="1" applyNumberFormat="1" applyFont="1" applyFill="1" applyAlignment="1">
      <alignment horizontal="right" vertical="top" indent="1" shrinkToFit="1"/>
    </xf>
    <xf numFmtId="165" fontId="3" fillId="6" borderId="0" xfId="1" applyNumberFormat="1" applyFont="1" applyFill="1" applyAlignment="1">
      <alignment horizontal="right" vertical="top" indent="1" shrinkToFit="1"/>
    </xf>
    <xf numFmtId="164" fontId="3" fillId="6" borderId="0" xfId="1" applyNumberFormat="1" applyFont="1" applyFill="1" applyAlignment="1">
      <alignment horizontal="right" vertical="top" shrinkToFit="1"/>
    </xf>
    <xf numFmtId="164" fontId="3" fillId="6" borderId="0" xfId="1" applyNumberFormat="1" applyFont="1" applyFill="1" applyAlignment="1">
      <alignment horizontal="left" vertical="top" indent="2" shrinkToFit="1"/>
    </xf>
    <xf numFmtId="0" fontId="4" fillId="6" borderId="0" xfId="0" applyFont="1" applyFill="1" applyAlignment="1">
      <alignment horizontal="left" vertical="top" wrapText="1"/>
    </xf>
    <xf numFmtId="167" fontId="3" fillId="6" borderId="0" xfId="0" applyNumberFormat="1" applyFont="1" applyFill="1" applyAlignment="1">
      <alignment horizontal="left" vertical="top" shrinkToFit="1"/>
    </xf>
    <xf numFmtId="166" fontId="3" fillId="6" borderId="0" xfId="0" applyNumberFormat="1" applyFont="1" applyFill="1" applyAlignment="1">
      <alignment horizontal="left" vertical="top" indent="1" shrinkToFit="1"/>
    </xf>
    <xf numFmtId="0" fontId="4" fillId="6" borderId="0" xfId="0" applyFont="1" applyFill="1" applyAlignment="1">
      <alignment vertical="top" wrapText="1"/>
    </xf>
    <xf numFmtId="164" fontId="3" fillId="6" borderId="0" xfId="0" applyNumberFormat="1" applyFont="1" applyFill="1" applyAlignment="1">
      <alignment horizontal="right" vertical="top" indent="1" shrinkToFit="1"/>
    </xf>
    <xf numFmtId="165" fontId="3" fillId="6" borderId="0" xfId="0" applyNumberFormat="1" applyFont="1" applyFill="1" applyAlignment="1">
      <alignment vertical="top" shrinkToFit="1"/>
    </xf>
    <xf numFmtId="164" fontId="3" fillId="6" borderId="0" xfId="0" applyNumberFormat="1" applyFont="1" applyFill="1" applyAlignment="1">
      <alignment horizontal="right" vertical="top" shrinkToFit="1"/>
    </xf>
    <xf numFmtId="0" fontId="0" fillId="3" borderId="0" xfId="0" applyFill="1" applyAlignment="1">
      <alignment horizontal="left" vertical="top"/>
    </xf>
    <xf numFmtId="0" fontId="2" fillId="3" borderId="0" xfId="1" applyFill="1" applyAlignment="1">
      <alignment horizontal="left" vertical="top"/>
    </xf>
    <xf numFmtId="0" fontId="4" fillId="3" borderId="0" xfId="1" applyFont="1" applyFill="1" applyAlignment="1">
      <alignment horizontal="left" vertical="top" wrapText="1"/>
    </xf>
    <xf numFmtId="167" fontId="3" fillId="3" borderId="0" xfId="1" applyNumberFormat="1" applyFont="1" applyFill="1" applyAlignment="1">
      <alignment horizontal="left" vertical="top" shrinkToFit="1"/>
    </xf>
    <xf numFmtId="1" fontId="3" fillId="3" borderId="0" xfId="1" applyNumberFormat="1" applyFont="1" applyFill="1" applyAlignment="1">
      <alignment horizontal="left" vertical="top" indent="1" shrinkToFit="1"/>
    </xf>
    <xf numFmtId="0" fontId="4" fillId="3" borderId="0" xfId="1" applyFont="1" applyFill="1" applyAlignment="1">
      <alignment horizontal="left" vertical="top" wrapText="1" indent="1"/>
    </xf>
    <xf numFmtId="165" fontId="3" fillId="3" borderId="0" xfId="1" applyNumberFormat="1" applyFont="1" applyFill="1" applyAlignment="1">
      <alignment horizontal="right" vertical="top" indent="1" shrinkToFit="1"/>
    </xf>
    <xf numFmtId="164" fontId="3" fillId="3" borderId="0" xfId="1" applyNumberFormat="1" applyFont="1" applyFill="1" applyAlignment="1">
      <alignment horizontal="right" vertical="top" indent="1" shrinkToFit="1"/>
    </xf>
    <xf numFmtId="164" fontId="3" fillId="3" borderId="0" xfId="1" applyNumberFormat="1" applyFont="1" applyFill="1" applyAlignment="1">
      <alignment horizontal="right" vertical="top" shrinkToFit="1"/>
    </xf>
    <xf numFmtId="0" fontId="4" fillId="3" borderId="0" xfId="0" applyFont="1" applyFill="1" applyAlignment="1">
      <alignment horizontal="left" vertical="top" wrapText="1"/>
    </xf>
    <xf numFmtId="167" fontId="3" fillId="3" borderId="0" xfId="0" applyNumberFormat="1" applyFont="1" applyFill="1" applyAlignment="1">
      <alignment horizontal="left" vertical="top" shrinkToFit="1"/>
    </xf>
    <xf numFmtId="1" fontId="3" fillId="3" borderId="0" xfId="0" applyNumberFormat="1" applyFont="1" applyFill="1" applyAlignment="1">
      <alignment horizontal="left" vertical="top" indent="1" shrinkToFit="1"/>
    </xf>
    <xf numFmtId="0" fontId="4" fillId="3" borderId="0" xfId="0" applyFont="1" applyFill="1" applyAlignment="1">
      <alignment vertical="top" wrapText="1"/>
    </xf>
    <xf numFmtId="165" fontId="3" fillId="3" borderId="0" xfId="0" applyNumberFormat="1" applyFont="1" applyFill="1" applyAlignment="1">
      <alignment horizontal="right" vertical="top" indent="1" shrinkToFit="1"/>
    </xf>
    <xf numFmtId="164" fontId="3" fillId="3" borderId="0" xfId="0" applyNumberFormat="1" applyFont="1" applyFill="1" applyAlignment="1">
      <alignment vertical="top" shrinkToFit="1"/>
    </xf>
    <xf numFmtId="164" fontId="3" fillId="3" borderId="0" xfId="0" applyNumberFormat="1" applyFont="1" applyFill="1" applyAlignment="1">
      <alignment horizontal="right" vertical="top" shrinkToFit="1"/>
    </xf>
    <xf numFmtId="166" fontId="3" fillId="3" borderId="0" xfId="1" applyNumberFormat="1" applyFont="1" applyFill="1" applyAlignment="1">
      <alignment horizontal="left" vertical="top" indent="1" shrinkToFit="1"/>
    </xf>
    <xf numFmtId="0" fontId="4" fillId="3" borderId="0" xfId="1" applyFont="1" applyFill="1" applyAlignment="1">
      <alignment horizontal="left" vertical="center" wrapText="1"/>
    </xf>
    <xf numFmtId="1" fontId="3" fillId="3" borderId="0" xfId="1" applyNumberFormat="1" applyFont="1" applyFill="1" applyAlignment="1">
      <alignment horizontal="left" vertical="center" shrinkToFit="1"/>
    </xf>
    <xf numFmtId="1" fontId="3" fillId="3" borderId="0" xfId="1" applyNumberFormat="1" applyFont="1" applyFill="1" applyAlignment="1">
      <alignment horizontal="left" vertical="center" indent="1" shrinkToFit="1"/>
    </xf>
    <xf numFmtId="0" fontId="4" fillId="3" borderId="0" xfId="1" applyFont="1" applyFill="1" applyAlignment="1">
      <alignment horizontal="left" vertical="center" wrapText="1" indent="1"/>
    </xf>
    <xf numFmtId="165" fontId="3" fillId="3" borderId="0" xfId="1" applyNumberFormat="1" applyFont="1" applyFill="1" applyAlignment="1">
      <alignment horizontal="right" vertical="center" indent="1" shrinkToFit="1"/>
    </xf>
    <xf numFmtId="164" fontId="3" fillId="3" borderId="0" xfId="1" applyNumberFormat="1" applyFont="1" applyFill="1" applyAlignment="1">
      <alignment horizontal="right" vertical="center" indent="1" shrinkToFit="1"/>
    </xf>
    <xf numFmtId="164" fontId="3" fillId="3" borderId="0" xfId="1" applyNumberFormat="1" applyFont="1" applyFill="1" applyAlignment="1">
      <alignment horizontal="right" vertical="center" shrinkToFit="1"/>
    </xf>
    <xf numFmtId="1" fontId="3" fillId="3" borderId="0" xfId="1" applyNumberFormat="1" applyFont="1" applyFill="1" applyAlignment="1">
      <alignment horizontal="left" vertical="top" shrinkToFit="1"/>
    </xf>
    <xf numFmtId="1" fontId="3" fillId="3" borderId="0" xfId="0" applyNumberFormat="1" applyFont="1" applyFill="1" applyAlignment="1">
      <alignment horizontal="left" vertical="top" shrinkToFit="1"/>
    </xf>
    <xf numFmtId="0" fontId="5" fillId="3" borderId="0" xfId="0" applyFont="1" applyFill="1" applyAlignment="1">
      <alignment vertical="top" wrapText="1"/>
    </xf>
  </cellXfs>
  <cellStyles count="2">
    <cellStyle name="Normal" xfId="0" builtinId="0"/>
    <cellStyle name="Normal 2" xfId="1" xr:uid="{6F8A3D80-1A72-4E09-83E7-86EAC00DE3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9525</xdr:rowOff>
    </xdr:from>
    <xdr:to>
      <xdr:col>13</xdr:col>
      <xdr:colOff>106179</xdr:colOff>
      <xdr:row>42</xdr:row>
      <xdr:rowOff>85596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C6C4C6-AAAB-A0D7-3D09-2C5BCE09F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96250"/>
          <a:ext cx="8545329" cy="88569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18</xdr:col>
      <xdr:colOff>323187</xdr:colOff>
      <xdr:row>3</xdr:row>
      <xdr:rowOff>218890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533EB5-85C2-4A23-8A49-EB6258C7C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05550" y="628650"/>
          <a:ext cx="5304762" cy="147619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28</xdr:row>
      <xdr:rowOff>76200</xdr:rowOff>
    </xdr:from>
    <xdr:to>
      <xdr:col>16</xdr:col>
      <xdr:colOff>409031</xdr:colOff>
      <xdr:row>36</xdr:row>
      <xdr:rowOff>56989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BF51020-EAF4-EC64-433B-312551D76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76975" y="7153275"/>
          <a:ext cx="4352381" cy="1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19050</xdr:rowOff>
    </xdr:from>
    <xdr:to>
      <xdr:col>14</xdr:col>
      <xdr:colOff>84593</xdr:colOff>
      <xdr:row>52</xdr:row>
      <xdr:rowOff>18868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5FBEDE5-B065-BB45-F858-9D85580E6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534525"/>
          <a:ext cx="9057143" cy="14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714375</xdr:colOff>
      <xdr:row>82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649CA24-87CC-9B18-784F-5406B0362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44375" cy="1571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15</xdr:col>
      <xdr:colOff>714375</xdr:colOff>
      <xdr:row>165</xdr:row>
      <xdr:rowOff>95250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74AF5C8-1349-F7E8-C2B6-20DD96742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11500"/>
          <a:ext cx="12144375" cy="1571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ORENA.VASQUEZ@ITAU.C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7B01-4424-4E1F-A129-7A731C78A659}">
  <sheetPr>
    <tabColor rgb="FF002060"/>
  </sheetPr>
  <dimension ref="A1:P35"/>
  <sheetViews>
    <sheetView tabSelected="1" workbookViewId="0">
      <selection activeCell="F45" sqref="F45"/>
    </sheetView>
  </sheetViews>
  <sheetFormatPr baseColWidth="10" defaultColWidth="8" defaultRowHeight="12.75"/>
  <cols>
    <col min="1" max="2" width="10.85546875" style="2" customWidth="1"/>
    <col min="3" max="3" width="9.7109375" style="2" customWidth="1"/>
    <col min="4" max="4" width="23.5703125" style="2" customWidth="1"/>
    <col min="5" max="5" width="11.42578125" style="2" customWidth="1"/>
    <col min="6" max="6" width="13.140625" style="2" customWidth="1"/>
    <col min="7" max="7" width="11" style="2" customWidth="1"/>
    <col min="8" max="8" width="1.85546875" style="2" customWidth="1"/>
    <col min="9" max="9" width="2.140625" style="2" customWidth="1"/>
    <col min="10" max="14" width="8" style="2"/>
    <col min="15" max="15" width="10.7109375" style="2" bestFit="1" customWidth="1"/>
    <col min="16" max="16384" width="8" style="2"/>
  </cols>
  <sheetData>
    <row r="1" spans="1:16" ht="36.75" customHeight="1">
      <c r="A1" s="22" t="s">
        <v>43</v>
      </c>
      <c r="B1" s="22"/>
      <c r="C1" s="22"/>
      <c r="D1" s="22"/>
      <c r="E1" s="22"/>
      <c r="F1" s="22"/>
      <c r="G1" s="22"/>
      <c r="H1" s="22"/>
      <c r="I1" s="22"/>
    </row>
    <row r="2" spans="1:16" ht="12.75" customHeight="1">
      <c r="A2" s="23" t="s">
        <v>19</v>
      </c>
      <c r="B2" s="23"/>
      <c r="C2" s="23"/>
      <c r="D2" s="23"/>
      <c r="E2" s="23"/>
      <c r="F2" s="23"/>
      <c r="G2" s="23"/>
      <c r="H2" s="23"/>
      <c r="I2" s="23"/>
    </row>
    <row r="3" spans="1:16" ht="99.2" customHeight="1">
      <c r="A3" s="24" t="s">
        <v>42</v>
      </c>
      <c r="B3" s="24"/>
      <c r="C3" s="24"/>
      <c r="D3" s="24"/>
      <c r="E3" s="24"/>
      <c r="F3" s="24"/>
      <c r="G3" s="24"/>
      <c r="H3" s="24"/>
    </row>
    <row r="4" spans="1:16" ht="27.2" customHeight="1">
      <c r="A4" s="24" t="s">
        <v>18</v>
      </c>
      <c r="B4" s="24"/>
      <c r="C4" s="24"/>
      <c r="D4" s="24"/>
      <c r="E4" s="24"/>
      <c r="F4" s="24"/>
      <c r="G4" s="24"/>
      <c r="H4" s="24"/>
    </row>
    <row r="5" spans="1:16" ht="27.2" customHeight="1">
      <c r="A5" s="25" t="s">
        <v>41</v>
      </c>
      <c r="B5" s="25"/>
      <c r="C5" s="25"/>
      <c r="D5" s="25"/>
      <c r="E5" s="25"/>
      <c r="F5" s="25"/>
      <c r="G5" s="25"/>
      <c r="H5" s="25"/>
    </row>
    <row r="6" spans="1:16" ht="12.75" customHeight="1">
      <c r="A6" s="8" t="s">
        <v>17</v>
      </c>
      <c r="B6" s="21"/>
      <c r="C6" s="21"/>
      <c r="D6" s="21"/>
      <c r="E6" s="21"/>
      <c r="F6" s="21"/>
      <c r="G6" s="21"/>
    </row>
    <row r="7" spans="1:16" ht="28.7" customHeight="1">
      <c r="A7" s="7" t="s">
        <v>16</v>
      </c>
      <c r="B7" s="7" t="s">
        <v>15</v>
      </c>
      <c r="C7" s="6" t="s">
        <v>14</v>
      </c>
      <c r="D7" s="6" t="s">
        <v>13</v>
      </c>
      <c r="E7" s="5" t="s">
        <v>12</v>
      </c>
      <c r="F7" s="4" t="s">
        <v>11</v>
      </c>
      <c r="G7" s="3" t="s">
        <v>10</v>
      </c>
      <c r="J7" s="11" t="s">
        <v>0</v>
      </c>
      <c r="K7" s="11" t="s">
        <v>1</v>
      </c>
      <c r="L7" s="11" t="s">
        <v>2</v>
      </c>
      <c r="M7" s="11" t="s">
        <v>3</v>
      </c>
      <c r="N7" s="11" t="s">
        <v>4</v>
      </c>
      <c r="O7" s="11" t="s">
        <v>5</v>
      </c>
      <c r="P7" s="11" t="s">
        <v>6</v>
      </c>
    </row>
    <row r="8" spans="1:16" ht="15">
      <c r="A8" s="58" t="s">
        <v>40</v>
      </c>
      <c r="B8" s="59">
        <v>325854751</v>
      </c>
      <c r="C8" s="60">
        <v>1980</v>
      </c>
      <c r="D8" s="61" t="s">
        <v>39</v>
      </c>
      <c r="E8" s="62">
        <v>0</v>
      </c>
      <c r="F8" s="63">
        <v>704000</v>
      </c>
      <c r="G8" s="64">
        <v>249731</v>
      </c>
      <c r="H8" s="42"/>
      <c r="I8" s="42"/>
      <c r="J8" s="42" t="str">
        <f>+D8</f>
        <v>Pesco</v>
      </c>
      <c r="K8" s="1" t="s">
        <v>51</v>
      </c>
      <c r="L8" s="41">
        <v>1041901</v>
      </c>
      <c r="M8" s="42"/>
      <c r="N8" s="42"/>
      <c r="O8" s="42">
        <v>760794058</v>
      </c>
      <c r="P8" s="2" t="s">
        <v>52</v>
      </c>
    </row>
    <row r="9" spans="1:16" ht="15">
      <c r="A9" s="43" t="s">
        <v>37</v>
      </c>
      <c r="B9" s="44">
        <v>0</v>
      </c>
      <c r="C9" s="45">
        <v>1980</v>
      </c>
      <c r="D9" s="46" t="s">
        <v>38</v>
      </c>
      <c r="E9" s="47">
        <v>0</v>
      </c>
      <c r="F9" s="47">
        <v>731</v>
      </c>
      <c r="G9" s="49">
        <v>249000</v>
      </c>
      <c r="H9" s="42"/>
      <c r="I9" s="42"/>
      <c r="J9" s="42" t="str">
        <f t="shared" ref="J9:J26" si="0">+D9</f>
        <v>Com Pag Masivos Proveedores</v>
      </c>
      <c r="K9" s="1" t="s">
        <v>50</v>
      </c>
      <c r="L9" s="41">
        <v>303001</v>
      </c>
      <c r="M9" s="41"/>
      <c r="N9" s="41"/>
      <c r="O9" s="42">
        <v>970230009</v>
      </c>
    </row>
    <row r="10" spans="1:16" ht="15">
      <c r="A10" s="43" t="s">
        <v>37</v>
      </c>
      <c r="B10" s="44">
        <v>0</v>
      </c>
      <c r="C10" s="45">
        <v>1980</v>
      </c>
      <c r="D10" s="46" t="s">
        <v>21</v>
      </c>
      <c r="E10" s="47">
        <v>0</v>
      </c>
      <c r="F10" s="47">
        <v>139</v>
      </c>
      <c r="G10" s="49">
        <v>248861</v>
      </c>
      <c r="H10" s="42"/>
      <c r="I10" s="42"/>
      <c r="J10" s="42" t="str">
        <f t="shared" si="0"/>
        <v>Impuesto Al Valor Agregado</v>
      </c>
      <c r="K10" s="1" t="s">
        <v>50</v>
      </c>
      <c r="L10" s="41">
        <v>303001</v>
      </c>
      <c r="M10" s="41"/>
      <c r="N10" s="41"/>
      <c r="O10" s="42">
        <v>970230009</v>
      </c>
    </row>
    <row r="11" spans="1:16">
      <c r="A11" s="26" t="s">
        <v>37</v>
      </c>
      <c r="B11" s="27">
        <v>0</v>
      </c>
      <c r="C11" s="28">
        <v>2</v>
      </c>
      <c r="D11" s="29" t="s">
        <v>9</v>
      </c>
      <c r="E11" s="30">
        <v>242000000</v>
      </c>
      <c r="F11" s="31">
        <v>0</v>
      </c>
      <c r="G11" s="32">
        <v>242248861</v>
      </c>
      <c r="J11" s="2" t="str">
        <f t="shared" si="0"/>
        <v>Abono Compra/venta Div. Web</v>
      </c>
    </row>
    <row r="12" spans="1:16" ht="15">
      <c r="A12" s="43" t="s">
        <v>37</v>
      </c>
      <c r="B12" s="44">
        <v>895518</v>
      </c>
      <c r="C12" s="45">
        <v>1980</v>
      </c>
      <c r="D12" s="46" t="s">
        <v>22</v>
      </c>
      <c r="E12" s="47">
        <v>0</v>
      </c>
      <c r="F12" s="48">
        <v>241347754</v>
      </c>
      <c r="G12" s="49">
        <v>901107</v>
      </c>
      <c r="H12" s="42"/>
      <c r="I12" s="42"/>
      <c r="J12" s="42" t="str">
        <f t="shared" si="0"/>
        <v>Pago Efectuado A Proveedores</v>
      </c>
      <c r="K12" s="1" t="s">
        <v>51</v>
      </c>
      <c r="L12" s="41">
        <v>1041901</v>
      </c>
      <c r="M12" s="42"/>
      <c r="N12" s="42"/>
      <c r="O12" s="42">
        <v>99999999</v>
      </c>
      <c r="P12" s="2" t="s">
        <v>53</v>
      </c>
    </row>
    <row r="13" spans="1:16" ht="15">
      <c r="A13" s="43" t="s">
        <v>36</v>
      </c>
      <c r="B13" s="44">
        <v>0</v>
      </c>
      <c r="C13" s="57">
        <v>11</v>
      </c>
      <c r="D13" s="46" t="s">
        <v>20</v>
      </c>
      <c r="E13" s="47">
        <v>0</v>
      </c>
      <c r="F13" s="48">
        <v>91422</v>
      </c>
      <c r="G13" s="49">
        <v>809685</v>
      </c>
      <c r="H13" s="42"/>
      <c r="I13" s="42"/>
      <c r="J13" s="42" t="str">
        <f t="shared" si="0"/>
        <v>Comision Mantencion Cta Corrie</v>
      </c>
      <c r="K13" s="1" t="s">
        <v>50</v>
      </c>
      <c r="L13" s="41">
        <v>303001</v>
      </c>
      <c r="M13" s="41"/>
      <c r="N13" s="41"/>
      <c r="O13" s="41">
        <v>970230009</v>
      </c>
    </row>
    <row r="14" spans="1:16" ht="15">
      <c r="A14" s="43" t="s">
        <v>36</v>
      </c>
      <c r="B14" s="44">
        <v>0</v>
      </c>
      <c r="C14" s="57">
        <v>11</v>
      </c>
      <c r="D14" s="46" t="s">
        <v>21</v>
      </c>
      <c r="E14" s="47">
        <v>0</v>
      </c>
      <c r="F14" s="48">
        <v>17370</v>
      </c>
      <c r="G14" s="49">
        <v>792315</v>
      </c>
      <c r="H14" s="42"/>
      <c r="I14" s="42"/>
      <c r="J14" s="42" t="str">
        <f t="shared" si="0"/>
        <v>Impuesto Al Valor Agregado</v>
      </c>
      <c r="K14" s="1" t="s">
        <v>50</v>
      </c>
      <c r="L14" s="41">
        <v>303001</v>
      </c>
      <c r="M14" s="41"/>
      <c r="N14" s="41"/>
      <c r="O14" s="41">
        <v>970230009</v>
      </c>
    </row>
    <row r="15" spans="1:16" ht="15">
      <c r="A15" s="43" t="s">
        <v>35</v>
      </c>
      <c r="B15" s="44">
        <v>0</v>
      </c>
      <c r="C15" s="45">
        <v>1980</v>
      </c>
      <c r="D15" s="46" t="s">
        <v>23</v>
      </c>
      <c r="E15" s="47">
        <v>0</v>
      </c>
      <c r="F15" s="48">
        <v>132885</v>
      </c>
      <c r="G15" s="49">
        <v>659430</v>
      </c>
      <c r="H15" s="42"/>
      <c r="I15" s="42"/>
      <c r="J15" s="42" t="str">
        <f t="shared" si="0"/>
        <v>Compra/venta Divisas Sucursal</v>
      </c>
      <c r="K15" s="1" t="s">
        <v>48</v>
      </c>
      <c r="L15" s="41">
        <v>1041501</v>
      </c>
      <c r="M15" s="42"/>
      <c r="N15" s="42"/>
      <c r="O15" s="42">
        <v>970230009</v>
      </c>
      <c r="P15" s="2" t="s">
        <v>49</v>
      </c>
    </row>
    <row r="16" spans="1:16" ht="15">
      <c r="A16" s="43" t="s">
        <v>34</v>
      </c>
      <c r="B16" s="65">
        <v>329550804</v>
      </c>
      <c r="C16" s="45">
        <v>1980</v>
      </c>
      <c r="D16" s="46" t="s">
        <v>33</v>
      </c>
      <c r="E16" s="48">
        <v>232170</v>
      </c>
      <c r="F16" s="47">
        <v>0</v>
      </c>
      <c r="G16" s="49">
        <v>891600</v>
      </c>
      <c r="H16" s="42"/>
      <c r="I16" s="42"/>
      <c r="J16" s="42" t="str">
        <f t="shared" si="0"/>
        <v>Transferencia De Grupo Monteca</v>
      </c>
      <c r="K16" s="1" t="s">
        <v>48</v>
      </c>
      <c r="L16" s="41">
        <v>1041501</v>
      </c>
      <c r="M16" s="42"/>
      <c r="N16" s="42"/>
      <c r="O16" s="42">
        <v>774500820</v>
      </c>
      <c r="P16" s="2" t="s">
        <v>54</v>
      </c>
    </row>
    <row r="17" spans="1:16" ht="15">
      <c r="A17" s="43" t="s">
        <v>32</v>
      </c>
      <c r="B17" s="65">
        <v>330347946</v>
      </c>
      <c r="C17" s="45">
        <v>1980</v>
      </c>
      <c r="D17" s="46" t="s">
        <v>31</v>
      </c>
      <c r="E17" s="47">
        <v>0</v>
      </c>
      <c r="F17" s="48">
        <v>116139</v>
      </c>
      <c r="G17" s="49">
        <v>775461</v>
      </c>
      <c r="H17" s="42"/>
      <c r="I17" s="42"/>
      <c r="J17" s="42" t="str">
        <f t="shared" si="0"/>
        <v>1z17e4v30410894414</v>
      </c>
      <c r="K17" s="1" t="s">
        <v>48</v>
      </c>
      <c r="L17" s="41">
        <v>1041501</v>
      </c>
      <c r="M17" s="42"/>
      <c r="N17" s="42"/>
      <c r="O17" s="42">
        <v>99999999</v>
      </c>
      <c r="P17" s="2" t="s">
        <v>55</v>
      </c>
    </row>
    <row r="18" spans="1:16" ht="15">
      <c r="A18" s="43" t="s">
        <v>30</v>
      </c>
      <c r="B18" s="44">
        <v>0</v>
      </c>
      <c r="C18" s="45">
        <v>1980</v>
      </c>
      <c r="D18" s="46" t="s">
        <v>23</v>
      </c>
      <c r="E18" s="47">
        <v>0</v>
      </c>
      <c r="F18" s="48">
        <v>131097</v>
      </c>
      <c r="G18" s="49">
        <v>644364</v>
      </c>
      <c r="H18" s="42"/>
      <c r="I18" s="42"/>
      <c r="J18" s="42" t="str">
        <f t="shared" si="0"/>
        <v>Compra/venta Divisas Sucursal</v>
      </c>
      <c r="K18" s="1" t="s">
        <v>48</v>
      </c>
      <c r="L18" s="41">
        <v>1041501</v>
      </c>
      <c r="M18" s="42"/>
      <c r="N18" s="42"/>
      <c r="O18" s="42">
        <v>970230009</v>
      </c>
      <c r="P18" s="2" t="s">
        <v>49</v>
      </c>
    </row>
    <row r="19" spans="1:16">
      <c r="A19" s="26" t="s">
        <v>29</v>
      </c>
      <c r="B19" s="27">
        <v>0</v>
      </c>
      <c r="C19" s="28">
        <v>2</v>
      </c>
      <c r="D19" s="29" t="s">
        <v>9</v>
      </c>
      <c r="E19" s="33">
        <v>3704946</v>
      </c>
      <c r="F19" s="31">
        <v>0</v>
      </c>
      <c r="G19" s="32">
        <v>4349310</v>
      </c>
      <c r="J19" s="2" t="str">
        <f t="shared" si="0"/>
        <v>Abono Compra/venta Div. Web</v>
      </c>
    </row>
    <row r="20" spans="1:16" ht="15">
      <c r="A20" s="50" t="s">
        <v>29</v>
      </c>
      <c r="B20" s="66">
        <v>332882823</v>
      </c>
      <c r="C20" s="52">
        <v>1980</v>
      </c>
      <c r="D20" s="53" t="s">
        <v>44</v>
      </c>
      <c r="E20" s="54">
        <v>0</v>
      </c>
      <c r="F20" s="55">
        <v>1043472</v>
      </c>
      <c r="G20" s="56">
        <v>3305838</v>
      </c>
      <c r="H20" s="42"/>
      <c r="I20" s="42"/>
      <c r="J20" s="42" t="str">
        <f t="shared" si="0"/>
        <v>Fc 1331 Proyesco</v>
      </c>
      <c r="K20" s="1" t="s">
        <v>50</v>
      </c>
      <c r="L20" s="41">
        <v>303001</v>
      </c>
      <c r="M20" s="42"/>
      <c r="N20" s="42"/>
      <c r="O20" s="42">
        <v>777163124</v>
      </c>
    </row>
    <row r="21" spans="1:16" ht="15">
      <c r="A21" s="50" t="s">
        <v>29</v>
      </c>
      <c r="B21" s="66">
        <v>332882848</v>
      </c>
      <c r="C21" s="52">
        <v>1980</v>
      </c>
      <c r="D21" s="53" t="s">
        <v>44</v>
      </c>
      <c r="E21" s="54">
        <v>0</v>
      </c>
      <c r="F21" s="55">
        <v>262145</v>
      </c>
      <c r="G21" s="56">
        <v>3043693</v>
      </c>
      <c r="H21" s="42"/>
      <c r="I21" s="42"/>
      <c r="J21" s="42" t="str">
        <f t="shared" si="0"/>
        <v>Fc 1331 Proyesco</v>
      </c>
      <c r="K21" s="1" t="s">
        <v>50</v>
      </c>
      <c r="L21" s="41">
        <v>303001</v>
      </c>
      <c r="M21" s="42"/>
      <c r="N21" s="42"/>
      <c r="O21" s="42">
        <v>771903932</v>
      </c>
    </row>
    <row r="22" spans="1:16" ht="15">
      <c r="A22" s="50" t="s">
        <v>29</v>
      </c>
      <c r="B22" s="66">
        <v>332882867</v>
      </c>
      <c r="C22" s="52">
        <v>1980</v>
      </c>
      <c r="D22" s="53" t="s">
        <v>45</v>
      </c>
      <c r="E22" s="54">
        <v>0</v>
      </c>
      <c r="F22" s="55">
        <v>1677893</v>
      </c>
      <c r="G22" s="56">
        <v>1365800</v>
      </c>
      <c r="H22" s="42"/>
      <c r="I22" s="42"/>
      <c r="J22" s="42" t="str">
        <f t="shared" si="0"/>
        <v>Pasajes Proyesco</v>
      </c>
      <c r="K22" s="1" t="s">
        <v>51</v>
      </c>
      <c r="L22" s="41">
        <v>1041901</v>
      </c>
      <c r="M22" s="42"/>
      <c r="N22" s="42"/>
      <c r="O22" s="42">
        <v>99999999</v>
      </c>
      <c r="P22" s="2" t="s">
        <v>53</v>
      </c>
    </row>
    <row r="23" spans="1:16" ht="15">
      <c r="A23" s="50" t="s">
        <v>29</v>
      </c>
      <c r="B23" s="66">
        <v>332882889</v>
      </c>
      <c r="C23" s="52">
        <v>1980</v>
      </c>
      <c r="D23" s="53" t="s">
        <v>46</v>
      </c>
      <c r="E23" s="54">
        <v>0</v>
      </c>
      <c r="F23" s="55">
        <v>690000</v>
      </c>
      <c r="G23" s="56">
        <v>675800</v>
      </c>
      <c r="H23" s="42"/>
      <c r="I23" s="42"/>
      <c r="J23" s="42" t="str">
        <f t="shared" si="0"/>
        <v>Depto Proyesco</v>
      </c>
      <c r="K23" s="1" t="s">
        <v>51</v>
      </c>
      <c r="L23" s="41">
        <v>1041901</v>
      </c>
      <c r="M23" s="42"/>
      <c r="N23" s="42"/>
      <c r="O23" s="42">
        <v>99999999</v>
      </c>
      <c r="P23" s="2" t="s">
        <v>53</v>
      </c>
    </row>
    <row r="24" spans="1:16" ht="15">
      <c r="A24" s="50" t="s">
        <v>29</v>
      </c>
      <c r="B24" s="51">
        <v>0</v>
      </c>
      <c r="C24" s="52">
        <v>1980</v>
      </c>
      <c r="D24" s="53" t="s">
        <v>23</v>
      </c>
      <c r="E24" s="54">
        <v>0</v>
      </c>
      <c r="F24" s="55">
        <v>133749</v>
      </c>
      <c r="G24" s="56">
        <v>542051</v>
      </c>
      <c r="H24" s="42"/>
      <c r="I24" s="42"/>
      <c r="J24" s="42" t="str">
        <f t="shared" si="0"/>
        <v>Compra/venta Divisas Sucursal</v>
      </c>
      <c r="K24" s="1" t="s">
        <v>48</v>
      </c>
      <c r="L24" s="41">
        <v>1041501</v>
      </c>
      <c r="M24" s="42"/>
      <c r="N24" s="42"/>
      <c r="O24" s="42">
        <v>970230009</v>
      </c>
      <c r="P24" s="2" t="s">
        <v>57</v>
      </c>
    </row>
    <row r="25" spans="1:16">
      <c r="A25" s="34" t="s">
        <v>47</v>
      </c>
      <c r="B25" s="35">
        <v>0</v>
      </c>
      <c r="C25" s="36">
        <v>2</v>
      </c>
      <c r="D25" s="37" t="s">
        <v>9</v>
      </c>
      <c r="E25" s="38">
        <v>3921750</v>
      </c>
      <c r="F25" s="39">
        <v>0</v>
      </c>
      <c r="G25" s="40">
        <v>4463801</v>
      </c>
      <c r="J25" s="2" t="str">
        <f t="shared" si="0"/>
        <v>Abono Compra/venta Div. Web</v>
      </c>
    </row>
    <row r="26" spans="1:16" ht="15">
      <c r="A26" s="50" t="s">
        <v>47</v>
      </c>
      <c r="B26" s="66">
        <v>333258699</v>
      </c>
      <c r="C26" s="52">
        <v>1980</v>
      </c>
      <c r="D26" s="67" t="s">
        <v>56</v>
      </c>
      <c r="E26" s="54">
        <v>0</v>
      </c>
      <c r="F26" s="55">
        <v>3904428</v>
      </c>
      <c r="G26" s="56">
        <v>559373</v>
      </c>
      <c r="H26" s="42"/>
      <c r="I26" s="42"/>
      <c r="J26" s="42" t="str">
        <f t="shared" si="0"/>
        <v>Fc 128040 Proyesco</v>
      </c>
      <c r="K26" s="1" t="s">
        <v>50</v>
      </c>
      <c r="L26" s="41">
        <v>303001</v>
      </c>
      <c r="M26" s="42"/>
      <c r="N26" s="42"/>
      <c r="O26" s="42">
        <v>968416308</v>
      </c>
    </row>
    <row r="27" spans="1:16" s="12" customFormat="1" ht="12.75" customHeight="1">
      <c r="A27" s="20" t="s">
        <v>24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</row>
    <row r="28" spans="1:16" s="12" customFormat="1" ht="22.5" customHeight="1">
      <c r="A28" s="13" t="s">
        <v>25</v>
      </c>
      <c r="B28" s="13"/>
      <c r="C28" s="13" t="s">
        <v>26</v>
      </c>
      <c r="D28" s="13"/>
      <c r="E28" s="13" t="s">
        <v>27</v>
      </c>
      <c r="F28" s="13"/>
      <c r="G28" s="16" t="s">
        <v>28</v>
      </c>
      <c r="I28" s="17"/>
      <c r="J28" s="18"/>
    </row>
    <row r="29" spans="1:16" s="12" customFormat="1" ht="11.25" customHeight="1">
      <c r="A29" s="14">
        <v>250253224</v>
      </c>
      <c r="B29" s="14"/>
      <c r="C29" s="14">
        <v>249858866</v>
      </c>
      <c r="D29" s="14"/>
      <c r="E29" s="15">
        <v>0</v>
      </c>
      <c r="F29" s="15"/>
      <c r="G29" s="14">
        <v>1308674</v>
      </c>
      <c r="I29" s="19"/>
      <c r="J29" s="19"/>
    </row>
    <row r="30" spans="1:16" s="12" customFormat="1" ht="15"/>
    <row r="32" spans="1:16">
      <c r="E32" s="9" t="s">
        <v>7</v>
      </c>
      <c r="F32" s="1" t="s">
        <v>8</v>
      </c>
    </row>
    <row r="33" spans="5:6">
      <c r="E33" s="10">
        <f>+E11+E16+E19+E25</f>
        <v>249858866</v>
      </c>
      <c r="F33" s="10">
        <f>+F8+F9+F10+F12+F13+F14+F15+F17+F18+F20+F21+F22+F23+F24+F26</f>
        <v>250253224</v>
      </c>
    </row>
    <row r="35" spans="5:6">
      <c r="F35" s="10">
        <f>953731+E33-F33</f>
        <v>559373</v>
      </c>
    </row>
  </sheetData>
  <mergeCells count="7">
    <mergeCell ref="A27:K27"/>
    <mergeCell ref="B6:G6"/>
    <mergeCell ref="A1:I1"/>
    <mergeCell ref="A2:I2"/>
    <mergeCell ref="A3:H3"/>
    <mergeCell ref="A4:H4"/>
    <mergeCell ref="A5:H5"/>
  </mergeCells>
  <hyperlinks>
    <hyperlink ref="A3" r:id="rId1" display="mailto:LORENA.VASQUEZ@ITAU.CL" xr:uid="{C327BF0B-0CE1-49D1-A7C8-2787A03798FB}"/>
  </hyperlinks>
  <pageMargins left="0.7" right="0.7" top="0.75" bottom="0.75" header="0.3" footer="0.3"/>
  <headerFooter>
    <oddFooter>&amp;C_x000D_&amp;1#&amp;"Calibri"&amp;10&amp;K000000 Clasificación: Interno, no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"/>
  <sheetViews>
    <sheetView topLeftCell="A103" workbookViewId="0">
      <selection activeCell="A84" sqref="A84"/>
    </sheetView>
  </sheetViews>
  <sheetFormatPr baseColWidth="10" defaultRowHeight="15"/>
  <sheetData/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 r:id="rId1"/>
  <headerFooter alignWithMargins="0">
    <oddFooter>&amp;C_x000D_&amp;1#&amp;"Calibri"&amp;10&amp;K000000 Clasificación: Interno, no apto para su distribución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EE98F9-010F-49F3-B611-AC09A8B6DACD}"/>
</file>

<file path=customXml/itemProps2.xml><?xml version="1.0" encoding="utf-8"?>
<ds:datastoreItem xmlns:ds="http://schemas.openxmlformats.org/officeDocument/2006/customXml" ds:itemID="{00DA7E03-3EC1-42E6-B24A-C21B9A8270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CARTOLA</vt:lpstr>
      <vt:lpstr>RECEPCION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Belen Ayala Leon</dc:creator>
  <cp:lastModifiedBy>Valentina Belen Ayala Leon</cp:lastModifiedBy>
  <dcterms:created xsi:type="dcterms:W3CDTF">2024-01-25T16:57:13Z</dcterms:created>
  <dcterms:modified xsi:type="dcterms:W3CDTF">2024-02-06T16:51:16Z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93d2621-260c-42db-8aea-42fd547000da_Enabled">
    <vt:lpwstr>true</vt:lpwstr>
  </property>
  <property fmtid="{D5CDD505-2E9C-101B-9397-08002B2CF9AE}" pid="3" name="MSIP_Label_293d2621-260c-42db-8aea-42fd547000da_SetDate">
    <vt:lpwstr>2024-02-06T15:21:13Z</vt:lpwstr>
  </property>
  <property fmtid="{D5CDD505-2E9C-101B-9397-08002B2CF9AE}" pid="4" name="MSIP_Label_293d2621-260c-42db-8aea-42fd547000da_Method">
    <vt:lpwstr>Privileged</vt:lpwstr>
  </property>
  <property fmtid="{D5CDD505-2E9C-101B-9397-08002B2CF9AE}" pid="5" name="MSIP_Label_293d2621-260c-42db-8aea-42fd547000da_Name">
    <vt:lpwstr>Interno</vt:lpwstr>
  </property>
  <property fmtid="{D5CDD505-2E9C-101B-9397-08002B2CF9AE}" pid="6" name="MSIP_Label_293d2621-260c-42db-8aea-42fd547000da_SiteId">
    <vt:lpwstr>ad9dc499-26eb-41de-90c1-2c7cfce752f9</vt:lpwstr>
  </property>
  <property fmtid="{D5CDD505-2E9C-101B-9397-08002B2CF9AE}" pid="7" name="MSIP_Label_293d2621-260c-42db-8aea-42fd547000da_ActionId">
    <vt:lpwstr>106106da-bc50-407d-b0ae-68c28adc00f9</vt:lpwstr>
  </property>
  <property fmtid="{D5CDD505-2E9C-101B-9397-08002B2CF9AE}" pid="8" name="MSIP_Label_293d2621-260c-42db-8aea-42fd547000da_ContentBits">
    <vt:lpwstr>2</vt:lpwstr>
  </property>
</Properties>
</file>