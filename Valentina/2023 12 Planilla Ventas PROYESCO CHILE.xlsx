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-my.sharepoint.com/personal/valentina_ayala_rsmchile_cl/Documents/Perfil/Desktop/CLIENTES/19.PROYESCO CHILE SPA/Documentacion/2023 12 Diciembre/LV (OK)/"/>
    </mc:Choice>
  </mc:AlternateContent>
  <xr:revisionPtr revIDLastSave="200" documentId="8_{09A5D49F-43FA-422A-B8AC-74525F074094}" xr6:coauthVersionLast="47" xr6:coauthVersionMax="47" xr10:uidLastSave="{8D4A170A-EBDB-44CB-9024-BE902FB348B2}"/>
  <bookViews>
    <workbookView xWindow="-120" yWindow="-120" windowWidth="20640" windowHeight="11040" xr2:uid="{4E8A43D0-9CAE-436A-A1D0-2C32832793F5}"/>
  </bookViews>
  <sheets>
    <sheet name="CUADRATURA 31.12.2023" sheetId="1" r:id="rId1"/>
    <sheet name="MAGNUS LV" sheetId="6" r:id="rId2"/>
    <sheet name="Planilla unificada" sheetId="2" r:id="rId3"/>
    <sheet name="01-31" sheetId="7" r:id="rId4"/>
    <sheet name="Titulares" sheetId="5" r:id="rId5"/>
    <sheet name="31.12.2023 LV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J12" i="1"/>
  <c r="H10" i="1"/>
  <c r="H12" i="1" s="1"/>
  <c r="G10" i="1"/>
  <c r="G12" i="1" s="1"/>
  <c r="F10" i="1"/>
  <c r="F12" i="1" s="1"/>
  <c r="E10" i="1"/>
  <c r="E12" i="1" s="1"/>
  <c r="I5" i="1"/>
  <c r="J5" i="1"/>
  <c r="H3" i="1"/>
  <c r="H5" i="1" s="1"/>
  <c r="G3" i="1"/>
  <c r="G5" i="1" s="1"/>
  <c r="F3" i="1"/>
  <c r="F5" i="1" s="1"/>
  <c r="E3" i="1"/>
  <c r="E5" i="1" s="1"/>
  <c r="K6" i="1" l="1"/>
  <c r="K3" i="1"/>
  <c r="L4" i="1" s="1"/>
  <c r="L6" i="1" s="1"/>
  <c r="K13" i="1"/>
  <c r="K10" i="1"/>
  <c r="L11" i="1" s="1"/>
  <c r="L13" i="1" s="1"/>
</calcChain>
</file>

<file path=xl/sharedStrings.xml><?xml version="1.0" encoding="utf-8"?>
<sst xmlns="http://schemas.openxmlformats.org/spreadsheetml/2006/main" count="137" uniqueCount="82">
  <si>
    <t>Nro</t>
  </si>
  <si>
    <t>Tipo Doc</t>
  </si>
  <si>
    <t>Tipo Venta</t>
  </si>
  <si>
    <t>Rut cliente</t>
  </si>
  <si>
    <t>Razon Social</t>
  </si>
  <si>
    <t>Folio</t>
  </si>
  <si>
    <t>Fecha Docto</t>
  </si>
  <si>
    <t>Fecha Recepcion</t>
  </si>
  <si>
    <t>Fecha Acuse Recibo</t>
  </si>
  <si>
    <t>Fecha Reclamo</t>
  </si>
  <si>
    <t>Monto Exento</t>
  </si>
  <si>
    <t>Monto Neto</t>
  </si>
  <si>
    <t>Monto IVA</t>
  </si>
  <si>
    <t>Monto total</t>
  </si>
  <si>
    <t>IVA Retenido Total</t>
  </si>
  <si>
    <t>IVA Retenido Parcial</t>
  </si>
  <si>
    <t>IVA no retenido</t>
  </si>
  <si>
    <t>IVA propio</t>
  </si>
  <si>
    <t>IVA Terceros</t>
  </si>
  <si>
    <t>RUT Emisor Liquid. Factura</t>
  </si>
  <si>
    <t>Neto Comision Liquid. Factura</t>
  </si>
  <si>
    <t>Exento Comision Liquid. Factura</t>
  </si>
  <si>
    <t>IVA Comision Liquid. Factura</t>
  </si>
  <si>
    <t>IVA fuera de plazo</t>
  </si>
  <si>
    <t>Tipo Docto. Referencia</t>
  </si>
  <si>
    <t>Folio Docto. Referencia</t>
  </si>
  <si>
    <t>Num. Ident. Receptor Extranjero</t>
  </si>
  <si>
    <t>Nacionalidad Receptor Extranjero</t>
  </si>
  <si>
    <t>Credito empresa constructora</t>
  </si>
  <si>
    <t>Impto. Zona Franca (Ley 18211)</t>
  </si>
  <si>
    <t>Garantia Dep. Envases</t>
  </si>
  <si>
    <t>Indicador Venta sin Costo</t>
  </si>
  <si>
    <t>Indicador Servicio Periodico</t>
  </si>
  <si>
    <t>Monto No facturable</t>
  </si>
  <si>
    <t>Total Monto Periodo</t>
  </si>
  <si>
    <t>Venta Pasajes Transporte Nacional</t>
  </si>
  <si>
    <t>Venta Pasajes Transporte Internacional</t>
  </si>
  <si>
    <t>Numero Interno</t>
  </si>
  <si>
    <t>Codigo Sucursal</t>
  </si>
  <si>
    <t>NCE o NDE sobre Fact. de Compra</t>
  </si>
  <si>
    <t>Codigo Otro Imp.</t>
  </si>
  <si>
    <t>Valor Otro Imp.</t>
  </si>
  <si>
    <t>Tasa Otro Imp.</t>
  </si>
  <si>
    <t>91426000-0</t>
  </si>
  <si>
    <t>TECHINT CHILE S.A.</t>
  </si>
  <si>
    <t>Glosa documento/descripcion gasto o servicio</t>
  </si>
  <si>
    <t>Numero cta Magnus</t>
  </si>
  <si>
    <t>Nombre Cuenta</t>
  </si>
  <si>
    <t>RESPALDO PDF</t>
  </si>
  <si>
    <r>
      <rPr>
        <sz val="12"/>
        <color rgb="FFFF0000"/>
        <rFont val="Calibri"/>
        <family val="2"/>
      </rPr>
      <t>Ø</t>
    </r>
    <r>
      <rPr>
        <sz val="12"/>
        <color rgb="FFFF0000"/>
        <rFont val="Tahoma"/>
        <family val="2"/>
      </rPr>
      <t xml:space="preserve"> Documentado</t>
    </r>
  </si>
  <si>
    <t>Օ Sin Documento</t>
  </si>
  <si>
    <t>Titular</t>
  </si>
  <si>
    <t>Nombre Titular</t>
  </si>
  <si>
    <t>NUMERO CTA</t>
  </si>
  <si>
    <t>NOMBRE DE CTA</t>
  </si>
  <si>
    <t>GENERICO CON IVA</t>
  </si>
  <si>
    <t>Libro de Ventas</t>
  </si>
  <si>
    <t>Tipo.Doc.</t>
  </si>
  <si>
    <t>Numero</t>
  </si>
  <si>
    <t>Fecha</t>
  </si>
  <si>
    <t>Titulares</t>
  </si>
  <si>
    <t>R.U.T.</t>
  </si>
  <si>
    <t>Afecto</t>
  </si>
  <si>
    <t>I.V.A.</t>
  </si>
  <si>
    <t>Exento</t>
  </si>
  <si>
    <t>Otros Imp.</t>
  </si>
  <si>
    <t>Total</t>
  </si>
  <si>
    <t>Factura de Venta Electrónica</t>
  </si>
  <si>
    <t>Planilla Unificada</t>
  </si>
  <si>
    <t xml:space="preserve">Tipo Factura Recibida </t>
  </si>
  <si>
    <t>Cant.Reg</t>
  </si>
  <si>
    <t>Neto</t>
  </si>
  <si>
    <t>I.V.A. No Rec</t>
  </si>
  <si>
    <t>Total Ventas</t>
  </si>
  <si>
    <t>MAGNUS</t>
  </si>
  <si>
    <t>Del Giro</t>
  </si>
  <si>
    <t>-</t>
  </si>
  <si>
    <t>PO N°4500438352 REV 2
Dated 05.09.2023
segunda cuota con liberación parcial Fase I:TS YTRS.
MIGO 5003632137
80 Gabinetes/equipos (trs) USD 13774.77
90 Gabinetes/equipos (ts) USD 19170.23</t>
  </si>
  <si>
    <t>PO N°4500438352 REV 2 Dated 05.09.2023 segunda cuota con liberación parcial Fase I:TS YTRS. MIGO 5003632137 80 Gabinetes/equipos (trs) USD 13774.77 90 Gabinetes/equipos (ts) USD 19170.23</t>
  </si>
  <si>
    <t>Empresa :PROYESCO CHILE SPA / Periodo : 01/12/23 al 31/12/23</t>
  </si>
  <si>
    <t>TECHINT CHILE SA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</si>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</sst>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8" tint="-0.249977111117893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Tahoma"/>
      <family val="2"/>
    </font>
    <font>
      <sz val="8.2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4" fillId="2" borderId="0" xfId="0" applyFont="1" applyFill="1"/>
    <xf numFmtId="0" fontId="5" fillId="0" borderId="0" xfId="0" applyFont="1"/>
    <xf numFmtId="3" fontId="5" fillId="0" borderId="0" xfId="1" applyNumberFormat="1" applyFont="1" applyFill="1" applyBorder="1"/>
    <xf numFmtId="49" fontId="8" fillId="3" borderId="2" xfId="0" applyNumberFormat="1" applyFont="1" applyFill="1" applyBorder="1" applyAlignment="1">
      <alignment horizontal="center" vertical="center" wrapText="1"/>
    </xf>
    <xf numFmtId="0" fontId="3" fillId="4" borderId="0" xfId="0" applyFont="1" applyFill="1"/>
    <xf numFmtId="42" fontId="0" fillId="0" borderId="0" xfId="2" applyFont="1"/>
    <xf numFmtId="42" fontId="0" fillId="0" borderId="0" xfId="0" applyNumberFormat="1"/>
    <xf numFmtId="0" fontId="2" fillId="0" borderId="0" xfId="0" applyFont="1"/>
    <xf numFmtId="42" fontId="2" fillId="0" borderId="0" xfId="2" applyFont="1"/>
    <xf numFmtId="42" fontId="2" fillId="0" borderId="0" xfId="0" applyNumberFormat="1" applyFont="1"/>
    <xf numFmtId="14" fontId="0" fillId="0" borderId="0" xfId="0" applyNumberFormat="1"/>
    <xf numFmtId="22" fontId="0" fillId="0" borderId="0" xfId="0" applyNumberFormat="1"/>
    <xf numFmtId="0" fontId="0" fillId="5" borderId="1" xfId="0" applyFill="1" applyBorder="1"/>
    <xf numFmtId="14" fontId="0" fillId="0" borderId="1" xfId="0" applyNumberFormat="1" applyBorder="1"/>
    <xf numFmtId="42" fontId="0" fillId="0" borderId="1" xfId="2" applyFont="1" applyBorder="1"/>
    <xf numFmtId="0" fontId="0" fillId="0" borderId="1" xfId="0" applyBorder="1" applyAlignment="1"/>
    <xf numFmtId="3" fontId="0" fillId="0" borderId="0" xfId="0" applyNumberFormat="1"/>
    <xf numFmtId="0" fontId="3" fillId="4" borderId="0" xfId="0" applyFont="1" applyFill="1" applyAlignment="1">
      <alignment horizontal="center"/>
    </xf>
  </cellXfs>
  <cellStyles count="3">
    <cellStyle name="Millares" xfId="1" builtinId="3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14</xdr:col>
      <xdr:colOff>465281</xdr:colOff>
      <xdr:row>20</xdr:row>
      <xdr:rowOff>28429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910BF-2D1C-BE42-9FAD-71BF5E492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11552381" cy="11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11</xdr:col>
      <xdr:colOff>170342</xdr:colOff>
      <xdr:row>50</xdr:row>
      <xdr:rowOff>8833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EBFE27-9E3A-024F-60C9-EC21CE954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8866667" cy="5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AFB2-40D8-4E30-873F-60FFA1F0CEA1}">
  <sheetPr>
    <tabColor rgb="FF002060"/>
  </sheetPr>
  <dimension ref="A1:L13"/>
  <sheetViews>
    <sheetView tabSelected="1" workbookViewId="0">
      <selection activeCell="A22" sqref="A22"/>
    </sheetView>
  </sheetViews>
  <sheetFormatPr baseColWidth="10" defaultRowHeight="15" x14ac:dyDescent="0.25"/>
  <cols>
    <col min="7" max="8" width="13" bestFit="1" customWidth="1"/>
    <col min="11" max="12" width="13" bestFit="1" customWidth="1"/>
  </cols>
  <sheetData>
    <row r="1" spans="1:12" x14ac:dyDescent="0.25">
      <c r="A1" s="19" t="s">
        <v>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5">
      <c r="A2" s="6" t="s">
        <v>69</v>
      </c>
      <c r="B2" s="6"/>
      <c r="C2" s="6"/>
      <c r="D2" s="6"/>
      <c r="E2" s="6" t="s">
        <v>70</v>
      </c>
      <c r="F2" s="6" t="s">
        <v>64</v>
      </c>
      <c r="G2" s="6" t="s">
        <v>71</v>
      </c>
      <c r="H2" s="6" t="s">
        <v>63</v>
      </c>
      <c r="I2" s="6" t="s">
        <v>65</v>
      </c>
      <c r="J2" s="6" t="s">
        <v>72</v>
      </c>
      <c r="K2" s="6" t="s">
        <v>66</v>
      </c>
      <c r="L2" s="6" t="s">
        <v>73</v>
      </c>
    </row>
    <row r="3" spans="1:12" x14ac:dyDescent="0.25">
      <c r="A3">
        <v>33</v>
      </c>
      <c r="B3" t="s">
        <v>67</v>
      </c>
      <c r="E3">
        <f>COUNTIF('Planilla unificada'!$B:$B,A3)</f>
        <v>1</v>
      </c>
      <c r="F3">
        <f>SUMIFS('Planilla unificada'!$H:$H,'Planilla unificada'!$B:$B,'CUADRATURA 31.12.2023'!A3)</f>
        <v>0</v>
      </c>
      <c r="G3" s="7">
        <f>SUMIFS('Planilla unificada'!$I:$I,'Planilla unificada'!$B:$B,'CUADRATURA 31.12.2023'!A3)</f>
        <v>28439112</v>
      </c>
      <c r="H3" s="7">
        <f>SUMIFS('Planilla unificada'!$J:$J,'Planilla unificada'!$B:$B,'CUADRATURA 31.12.2023'!A3)</f>
        <v>5403431</v>
      </c>
      <c r="K3" s="7">
        <f>SUM(F3:J3)</f>
        <v>33842543</v>
      </c>
    </row>
    <row r="4" spans="1:12" x14ac:dyDescent="0.25">
      <c r="L4" s="11">
        <f>SUM(K3)</f>
        <v>33842543</v>
      </c>
    </row>
    <row r="5" spans="1:12" x14ac:dyDescent="0.25">
      <c r="E5" s="9">
        <f>SUM(E3:E4)</f>
        <v>1</v>
      </c>
      <c r="F5" s="10">
        <f t="shared" ref="F5:J5" si="0">SUM(F3:F4)</f>
        <v>0</v>
      </c>
      <c r="G5" s="10">
        <f t="shared" si="0"/>
        <v>28439112</v>
      </c>
      <c r="H5" s="10">
        <f t="shared" si="0"/>
        <v>5403431</v>
      </c>
      <c r="I5" s="10">
        <f t="shared" si="0"/>
        <v>0</v>
      </c>
      <c r="J5" s="10">
        <f t="shared" si="0"/>
        <v>0</v>
      </c>
    </row>
    <row r="6" spans="1:12" x14ac:dyDescent="0.25">
      <c r="K6" s="10">
        <f>SUM(F5:J5)</f>
        <v>33842543</v>
      </c>
      <c r="L6" s="8">
        <f>L4-K6</f>
        <v>0</v>
      </c>
    </row>
    <row r="8" spans="1:12" x14ac:dyDescent="0.25">
      <c r="A8" s="19" t="s">
        <v>74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25">
      <c r="A9" s="6" t="s">
        <v>69</v>
      </c>
      <c r="B9" s="6"/>
      <c r="C9" s="6"/>
      <c r="D9" s="6"/>
      <c r="E9" s="6" t="s">
        <v>70</v>
      </c>
      <c r="F9" s="6" t="s">
        <v>64</v>
      </c>
      <c r="G9" s="6" t="s">
        <v>71</v>
      </c>
      <c r="H9" s="6" t="s">
        <v>63</v>
      </c>
      <c r="I9" s="6" t="s">
        <v>65</v>
      </c>
      <c r="J9" s="6" t="s">
        <v>72</v>
      </c>
      <c r="K9" s="6" t="s">
        <v>66</v>
      </c>
      <c r="L9" s="6" t="s">
        <v>73</v>
      </c>
    </row>
    <row r="10" spans="1:12" x14ac:dyDescent="0.25">
      <c r="A10">
        <v>33</v>
      </c>
      <c r="B10" t="s">
        <v>67</v>
      </c>
      <c r="E10">
        <f>COUNTIF('MAGNUS LV'!$A:$A,B10)</f>
        <v>1</v>
      </c>
      <c r="F10">
        <f>SUMIFS('MAGNUS LV'!$J:$J,'MAGNUS LV'!$A:$A,'CUADRATURA 31.12.2023'!B10)</f>
        <v>0</v>
      </c>
      <c r="G10" s="7">
        <f>SUMIFS('MAGNUS LV'!$G:$G,'MAGNUS LV'!$A:$A,'CUADRATURA 31.12.2023'!B10)</f>
        <v>28439112</v>
      </c>
      <c r="H10" s="7">
        <f>SUMIFS('MAGNUS LV'!$H:$H,'MAGNUS LV'!$A:$A,'CUADRATURA 31.12.2023'!B10)</f>
        <v>5403431</v>
      </c>
      <c r="K10" s="7">
        <f>SUM(F10:J10)</f>
        <v>33842543</v>
      </c>
    </row>
    <row r="11" spans="1:12" x14ac:dyDescent="0.25">
      <c r="L11" s="11">
        <f>SUM(K10)</f>
        <v>33842543</v>
      </c>
    </row>
    <row r="12" spans="1:12" x14ac:dyDescent="0.25">
      <c r="E12" s="9">
        <f>SUM(E10:E11)</f>
        <v>1</v>
      </c>
      <c r="F12" s="10">
        <f t="shared" ref="F12:J12" si="1">SUM(F10:F11)</f>
        <v>0</v>
      </c>
      <c r="G12" s="10">
        <f t="shared" si="1"/>
        <v>28439112</v>
      </c>
      <c r="H12" s="10">
        <f t="shared" si="1"/>
        <v>5403431</v>
      </c>
      <c r="I12" s="10">
        <f t="shared" si="1"/>
        <v>0</v>
      </c>
      <c r="J12" s="10">
        <f t="shared" si="1"/>
        <v>0</v>
      </c>
    </row>
    <row r="13" spans="1:12" x14ac:dyDescent="0.25">
      <c r="K13" s="10">
        <f>SUM(F12:J12)</f>
        <v>33842543</v>
      </c>
      <c r="L13" s="8">
        <f>L11-K13</f>
        <v>0</v>
      </c>
    </row>
  </sheetData>
  <mergeCells count="2">
    <mergeCell ref="A1:L1"/>
    <mergeCell ref="A8:L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DC62-4E66-475D-9C6B-CA7FFEC1A315}">
  <sheetPr>
    <tabColor rgb="FF002060"/>
  </sheetPr>
  <dimension ref="A1:L5"/>
  <sheetViews>
    <sheetView workbookViewId="0">
      <selection activeCell="D11" sqref="D11"/>
    </sheetView>
  </sheetViews>
  <sheetFormatPr baseColWidth="10" defaultRowHeight="15" x14ac:dyDescent="0.25"/>
  <sheetData>
    <row r="1" spans="1:12" x14ac:dyDescent="0.25">
      <c r="A1" t="s">
        <v>56</v>
      </c>
    </row>
    <row r="2" spans="1:12" x14ac:dyDescent="0.25">
      <c r="A2" t="s">
        <v>79</v>
      </c>
    </row>
    <row r="3" spans="1:12" x14ac:dyDescent="0.25">
      <c r="A3" t="s">
        <v>57</v>
      </c>
      <c r="B3" t="s">
        <v>58</v>
      </c>
      <c r="C3" t="s">
        <v>59</v>
      </c>
      <c r="D3" t="s">
        <v>60</v>
      </c>
      <c r="F3" t="s">
        <v>61</v>
      </c>
      <c r="G3" t="s">
        <v>62</v>
      </c>
      <c r="H3" t="s">
        <v>63</v>
      </c>
      <c r="J3" t="s">
        <v>64</v>
      </c>
      <c r="K3" t="s">
        <v>65</v>
      </c>
      <c r="L3" t="s">
        <v>66</v>
      </c>
    </row>
    <row r="4" spans="1:12" x14ac:dyDescent="0.25">
      <c r="A4" t="s">
        <v>67</v>
      </c>
      <c r="B4">
        <v>3</v>
      </c>
      <c r="C4" s="12">
        <v>45280</v>
      </c>
      <c r="D4" t="s">
        <v>80</v>
      </c>
      <c r="F4">
        <v>914260000</v>
      </c>
      <c r="G4" s="18">
        <v>28439112</v>
      </c>
      <c r="H4" s="18">
        <v>5403431</v>
      </c>
      <c r="L4" s="18">
        <v>33842543</v>
      </c>
    </row>
    <row r="5" spans="1:12" x14ac:dyDescent="0.25">
      <c r="A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EED6-C27E-479C-A05A-207803ED07B6}">
  <sheetPr>
    <tabColor rgb="FF002060"/>
  </sheetPr>
  <dimension ref="A1:Q2"/>
  <sheetViews>
    <sheetView zoomScale="80" zoomScaleNormal="80" workbookViewId="0">
      <selection activeCell="I2" sqref="I2"/>
    </sheetView>
  </sheetViews>
  <sheetFormatPr baseColWidth="10" defaultRowHeight="15" x14ac:dyDescent="0.25"/>
  <cols>
    <col min="9" max="11" width="14.140625" bestFit="1" customWidth="1"/>
    <col min="12" max="12" width="36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45</v>
      </c>
      <c r="M1" t="s">
        <v>46</v>
      </c>
      <c r="N1" t="s">
        <v>47</v>
      </c>
      <c r="O1" s="3" t="s">
        <v>48</v>
      </c>
      <c r="P1" s="4" t="s">
        <v>49</v>
      </c>
      <c r="Q1" s="2" t="s">
        <v>50</v>
      </c>
    </row>
    <row r="2" spans="1:17" ht="15.75" x14ac:dyDescent="0.25">
      <c r="A2" s="1">
        <v>1</v>
      </c>
      <c r="B2" s="1">
        <v>33</v>
      </c>
      <c r="C2" s="1" t="s">
        <v>75</v>
      </c>
      <c r="D2" s="1" t="s">
        <v>43</v>
      </c>
      <c r="E2" s="1" t="s">
        <v>44</v>
      </c>
      <c r="F2" s="14">
        <v>3</v>
      </c>
      <c r="G2" s="15">
        <v>45280</v>
      </c>
      <c r="H2" s="16">
        <v>0</v>
      </c>
      <c r="I2" s="16">
        <v>28439112</v>
      </c>
      <c r="J2" s="16">
        <v>5403431</v>
      </c>
      <c r="K2" s="16">
        <v>33842543</v>
      </c>
      <c r="L2" s="17" t="s">
        <v>78</v>
      </c>
      <c r="M2" s="1">
        <v>60102004</v>
      </c>
      <c r="N2" s="1" t="s">
        <v>55</v>
      </c>
      <c r="O2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550E-BAD1-4A94-96B4-E33BA4DACC18}">
  <sheetPr>
    <tabColor theme="5"/>
  </sheetPr>
  <dimension ref="A1:Q2"/>
  <sheetViews>
    <sheetView workbookViewId="0">
      <selection activeCell="K10" sqref="K10"/>
    </sheetView>
  </sheetViews>
  <sheetFormatPr baseColWidth="10" defaultRowHeight="15" x14ac:dyDescent="0.25"/>
  <cols>
    <col min="1" max="1" width="4.28515625" bestFit="1" customWidth="1"/>
    <col min="2" max="2" width="8.5703125" bestFit="1" customWidth="1"/>
    <col min="3" max="3" width="10.5703125" bestFit="1" customWidth="1"/>
    <col min="4" max="4" width="10.7109375" bestFit="1" customWidth="1"/>
    <col min="5" max="5" width="17.7109375" bestFit="1" customWidth="1"/>
    <col min="6" max="6" width="5.42578125" bestFit="1" customWidth="1"/>
    <col min="7" max="7" width="11.7109375" bestFit="1" customWidth="1"/>
    <col min="8" max="8" width="15.7109375" bestFit="1" customWidth="1"/>
    <col min="9" max="9" width="13.42578125" bestFit="1" customWidth="1"/>
    <col min="10" max="10" width="11.7109375" bestFit="1" customWidth="1"/>
    <col min="11" max="11" width="12" bestFit="1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45</v>
      </c>
      <c r="M1" t="s">
        <v>46</v>
      </c>
      <c r="N1" t="s">
        <v>47</v>
      </c>
      <c r="O1" s="3" t="s">
        <v>48</v>
      </c>
      <c r="P1" s="4" t="s">
        <v>49</v>
      </c>
      <c r="Q1" s="2" t="s">
        <v>50</v>
      </c>
    </row>
    <row r="2" spans="1:17" ht="15.75" x14ac:dyDescent="0.25">
      <c r="A2" s="1">
        <v>1</v>
      </c>
      <c r="B2" s="1">
        <v>33</v>
      </c>
      <c r="C2" s="1" t="s">
        <v>75</v>
      </c>
      <c r="D2" s="1" t="s">
        <v>43</v>
      </c>
      <c r="E2" s="1" t="s">
        <v>44</v>
      </c>
      <c r="F2" s="14">
        <v>3</v>
      </c>
      <c r="G2" s="15">
        <v>45280</v>
      </c>
      <c r="H2" s="16">
        <v>0</v>
      </c>
      <c r="I2" s="16">
        <v>28439112</v>
      </c>
      <c r="J2" s="16">
        <v>5403431</v>
      </c>
      <c r="K2" s="16">
        <v>33842543</v>
      </c>
      <c r="L2" s="1" t="s">
        <v>77</v>
      </c>
      <c r="M2" s="1">
        <v>60102004</v>
      </c>
      <c r="N2" s="1" t="s">
        <v>55</v>
      </c>
      <c r="O2" s="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727B-93FB-47A3-8A59-E9C495118048}">
  <sheetPr>
    <tabColor rgb="FF002060"/>
  </sheetPr>
  <dimension ref="A1:D2"/>
  <sheetViews>
    <sheetView workbookViewId="0">
      <selection activeCell="H8" sqref="H8"/>
    </sheetView>
  </sheetViews>
  <sheetFormatPr baseColWidth="10" defaultRowHeight="15" x14ac:dyDescent="0.25"/>
  <cols>
    <col min="2" max="2" width="17.7109375" bestFit="1" customWidth="1"/>
    <col min="4" max="4" width="18.140625" bestFit="1" customWidth="1"/>
  </cols>
  <sheetData>
    <row r="1" spans="1:4" ht="21" x14ac:dyDescent="0.25">
      <c r="A1" s="5" t="s">
        <v>51</v>
      </c>
      <c r="B1" s="5" t="s">
        <v>52</v>
      </c>
      <c r="C1" s="5" t="s">
        <v>53</v>
      </c>
      <c r="D1" s="5" t="s">
        <v>54</v>
      </c>
    </row>
    <row r="2" spans="1:4" x14ac:dyDescent="0.25">
      <c r="A2" s="1" t="s">
        <v>43</v>
      </c>
      <c r="B2" s="1" t="s">
        <v>44</v>
      </c>
      <c r="C2" s="1">
        <v>60102004</v>
      </c>
      <c r="D2" s="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5087-9CF4-47EA-9AA2-14561ADD2F62}">
  <sheetPr>
    <tabColor theme="5"/>
  </sheetPr>
  <dimension ref="A1:AQ2"/>
  <sheetViews>
    <sheetView workbookViewId="0">
      <selection activeCell="I6" sqref="I6"/>
    </sheetView>
  </sheetViews>
  <sheetFormatPr baseColWidth="10" defaultRowHeight="15" x14ac:dyDescent="0.25"/>
  <cols>
    <col min="1" max="1" width="4.28515625" bestFit="1" customWidth="1"/>
    <col min="2" max="2" width="8.5703125" bestFit="1" customWidth="1"/>
    <col min="3" max="3" width="10.5703125" bestFit="1" customWidth="1"/>
    <col min="4" max="4" width="10.7109375" bestFit="1" customWidth="1"/>
    <col min="5" max="5" width="17.7109375" bestFit="1" customWidth="1"/>
    <col min="6" max="6" width="5.42578125" bestFit="1" customWidth="1"/>
    <col min="7" max="7" width="11.7109375" bestFit="1" customWidth="1"/>
    <col min="8" max="8" width="15.7109375" bestFit="1" customWidth="1"/>
    <col min="9" max="9" width="18.42578125" bestFit="1" customWidth="1"/>
    <col min="10" max="10" width="15.7109375" bestFit="1" customWidth="1"/>
    <col min="11" max="11" width="13.42578125" bestFit="1" customWidth="1"/>
    <col min="12" max="12" width="11.7109375" bestFit="1" customWidth="1"/>
    <col min="13" max="13" width="10.42578125" bestFit="1" customWidth="1"/>
    <col min="15" max="15" width="17.7109375" bestFit="1" customWidth="1"/>
    <col min="16" max="16" width="19.140625" bestFit="1" customWidth="1"/>
    <col min="17" max="17" width="15" bestFit="1" customWidth="1"/>
    <col min="18" max="18" width="10.42578125" bestFit="1" customWidth="1"/>
    <col min="19" max="19" width="12.140625" bestFit="1" customWidth="1"/>
    <col min="20" max="20" width="24.42578125" bestFit="1" customWidth="1"/>
    <col min="21" max="21" width="27.85546875" bestFit="1" customWidth="1"/>
    <col min="22" max="22" width="29.5703125" bestFit="1" customWidth="1"/>
    <col min="23" max="23" width="26.5703125" bestFit="1" customWidth="1"/>
    <col min="24" max="24" width="17.28515625" bestFit="1" customWidth="1"/>
    <col min="25" max="25" width="21.28515625" bestFit="1" customWidth="1"/>
    <col min="26" max="26" width="21.85546875" bestFit="1" customWidth="1"/>
    <col min="27" max="27" width="30" bestFit="1" customWidth="1"/>
    <col min="28" max="28" width="31" bestFit="1" customWidth="1"/>
    <col min="29" max="29" width="27.5703125" bestFit="1" customWidth="1"/>
    <col min="30" max="30" width="28.42578125" bestFit="1" customWidth="1"/>
    <col min="31" max="31" width="20.5703125" bestFit="1" customWidth="1"/>
    <col min="32" max="32" width="23.7109375" bestFit="1" customWidth="1"/>
    <col min="33" max="33" width="25.85546875" bestFit="1" customWidth="1"/>
    <col min="34" max="34" width="19.42578125" bestFit="1" customWidth="1"/>
    <col min="35" max="35" width="19.28515625" bestFit="1" customWidth="1"/>
    <col min="36" max="36" width="32" bestFit="1" customWidth="1"/>
    <col min="37" max="37" width="36" bestFit="1" customWidth="1"/>
    <col min="38" max="38" width="15.28515625" bestFit="1" customWidth="1"/>
    <col min="39" max="39" width="14.85546875" bestFit="1" customWidth="1"/>
    <col min="40" max="40" width="30.7109375" bestFit="1" customWidth="1"/>
    <col min="41" max="41" width="16.140625" bestFit="1" customWidth="1"/>
    <col min="42" max="42" width="14.5703125" bestFit="1" customWidth="1"/>
    <col min="43" max="43" width="13.71093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>
        <v>33</v>
      </c>
      <c r="C2" t="s">
        <v>75</v>
      </c>
      <c r="D2" t="s">
        <v>43</v>
      </c>
      <c r="E2" t="s">
        <v>44</v>
      </c>
      <c r="F2">
        <v>3</v>
      </c>
      <c r="G2" s="12">
        <v>45280</v>
      </c>
      <c r="H2" s="13">
        <v>45280.423622685186</v>
      </c>
      <c r="J2" s="13">
        <v>45288.670752314814</v>
      </c>
      <c r="K2">
        <v>0</v>
      </c>
      <c r="L2">
        <v>28439112</v>
      </c>
      <c r="M2">
        <v>5403431</v>
      </c>
      <c r="N2">
        <v>33842543</v>
      </c>
      <c r="O2">
        <v>0</v>
      </c>
      <c r="P2">
        <v>0</v>
      </c>
      <c r="Q2">
        <v>0</v>
      </c>
      <c r="R2">
        <v>0</v>
      </c>
      <c r="S2">
        <v>0</v>
      </c>
      <c r="T2" t="s">
        <v>76</v>
      </c>
      <c r="U2">
        <v>0</v>
      </c>
      <c r="V2">
        <v>0</v>
      </c>
      <c r="W2">
        <v>0</v>
      </c>
      <c r="X2">
        <v>0</v>
      </c>
      <c r="Y2">
        <v>0</v>
      </c>
      <c r="AC2">
        <v>0</v>
      </c>
      <c r="AE2">
        <v>0</v>
      </c>
      <c r="AF2">
        <v>2</v>
      </c>
      <c r="AG2">
        <v>0</v>
      </c>
      <c r="AH2">
        <v>0</v>
      </c>
      <c r="AI2">
        <v>0</v>
      </c>
      <c r="AM2">
        <v>88308397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9B8D6E-6558-4198-910A-D36686803380}"/>
</file>

<file path=customXml/itemProps2.xml><?xml version="1.0" encoding="utf-8"?>
<ds:datastoreItem xmlns:ds="http://schemas.openxmlformats.org/officeDocument/2006/customXml" ds:itemID="{A56FD02E-3729-4741-AE08-D616D4790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CUADRATURA 31.12.2023</vt:lpstr>
      <vt:lpstr>MAGNUS LV</vt:lpstr>
      <vt:lpstr>Planilla unificada</vt:lpstr>
      <vt:lpstr>01-31</vt:lpstr>
      <vt:lpstr>Titulares</vt:lpstr>
      <vt:lpstr>31.12.2023 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Belen Ayala Leon</dc:creator>
  <cp:lastModifiedBy>Valentina Belen Ayala Leon</cp:lastModifiedBy>
  <dcterms:created xsi:type="dcterms:W3CDTF">2024-01-24T18:29:12Z</dcterms:created>
  <dcterms:modified xsi:type="dcterms:W3CDTF">2024-01-25T20:39:25Z</dcterms:modified>
</cp:coreProperties>
</file>