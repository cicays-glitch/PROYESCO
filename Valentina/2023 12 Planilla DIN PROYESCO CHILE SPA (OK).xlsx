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-my.sharepoint.com/personal/valentina_ayala_rsmchile_cl/Documents/Perfil/Desktop/CLIENTES/19.PROYESCO CHILE SPA/Documentacion/2023 12 Diciembre/LC/"/>
    </mc:Choice>
  </mc:AlternateContent>
  <xr:revisionPtr revIDLastSave="368" documentId="8_{31A30C50-1356-4798-9A47-8FB33DC66C13}" xr6:coauthVersionLast="47" xr6:coauthVersionMax="47" xr10:uidLastSave="{8B49E5D1-589F-4737-A037-E94EB12E38F1}"/>
  <bookViews>
    <workbookView xWindow="-120" yWindow="-120" windowWidth="20640" windowHeight="11040" xr2:uid="{6D6B6E5F-958E-472D-9055-98A615D8E73E}"/>
  </bookViews>
  <sheets>
    <sheet name="CUADRATURA 31.12.2023" sheetId="2" r:id="rId1"/>
    <sheet name="MAGNUS LC" sheetId="3" r:id="rId2"/>
    <sheet name="DIN" sheetId="1" r:id="rId3"/>
  </sheets>
  <definedNames>
    <definedName name="Maestr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D5" i="2"/>
  <c r="Q6" i="1" l="1"/>
  <c r="M6" i="1"/>
  <c r="O6" i="1" s="1"/>
  <c r="J6" i="1"/>
  <c r="Q5" i="1"/>
  <c r="M5" i="1"/>
  <c r="P5" i="1" s="1"/>
  <c r="J5" i="1"/>
  <c r="Q4" i="1"/>
  <c r="M4" i="1"/>
  <c r="P4" i="1" s="1"/>
  <c r="R4" i="1" s="1"/>
  <c r="J4" i="1"/>
  <c r="J2" i="1"/>
  <c r="M3" i="1"/>
  <c r="M2" i="1"/>
  <c r="Q3" i="1"/>
  <c r="Q2" i="1"/>
  <c r="O5" i="1" l="1"/>
  <c r="P6" i="1"/>
  <c r="R6" i="1" s="1"/>
  <c r="O4" i="1"/>
  <c r="R5" i="1"/>
  <c r="P3" i="1"/>
  <c r="R3" i="1" s="1"/>
  <c r="J3" i="1"/>
  <c r="O2" i="1"/>
  <c r="N17" i="1"/>
  <c r="L17" i="1"/>
  <c r="P2" i="1" l="1"/>
  <c r="R2" i="1" s="1"/>
  <c r="O3" i="1"/>
  <c r="O17" i="1" s="1"/>
  <c r="M17" i="1"/>
  <c r="P17" i="1" l="1"/>
  <c r="Q17" i="1"/>
  <c r="R17" i="1"/>
</calcChain>
</file>

<file path=xl/sharedStrings.xml><?xml version="1.0" encoding="utf-8"?>
<sst xmlns="http://schemas.openxmlformats.org/spreadsheetml/2006/main" count="85" uniqueCount="51">
  <si>
    <t>RUT</t>
  </si>
  <si>
    <t>NOMBRE / RAZON SOCIAL</t>
  </si>
  <si>
    <t>FORM.</t>
  </si>
  <si>
    <t>FOLIO</t>
  </si>
  <si>
    <t>FECHA PAGO</t>
  </si>
  <si>
    <t>VCTO</t>
  </si>
  <si>
    <t>TOAL AGADO USD</t>
  </si>
  <si>
    <t>TOTAL PAGADO PESOS</t>
  </si>
  <si>
    <t>TC</t>
  </si>
  <si>
    <t>NETO USD</t>
  </si>
  <si>
    <t>IVA USD</t>
  </si>
  <si>
    <t>TOTAL USD</t>
  </si>
  <si>
    <t>NETO $</t>
  </si>
  <si>
    <t>IVA $</t>
  </si>
  <si>
    <t>TOTAL $</t>
  </si>
  <si>
    <t>PROYESCO CHILE SPA</t>
  </si>
  <si>
    <t>77656064-2</t>
  </si>
  <si>
    <t>PLANILLA</t>
  </si>
  <si>
    <t>MAGNUS</t>
  </si>
  <si>
    <t>IVA</t>
  </si>
  <si>
    <t>Declaracion de Ingreso (Importacion)</t>
  </si>
  <si>
    <t>Libro de Compras</t>
  </si>
  <si>
    <t>Fecha _x000D_
Documento</t>
  </si>
  <si>
    <t>Fecha_x000D_
Contab</t>
  </si>
  <si>
    <t>Correlativo_x000D_
Interno</t>
  </si>
  <si>
    <t>Tipo Factura_x000D_
Recibida</t>
  </si>
  <si>
    <t>Nro_x000D_
Factura</t>
  </si>
  <si>
    <t>R.U.T.</t>
  </si>
  <si>
    <t>Razon Social</t>
  </si>
  <si>
    <t>Neto</t>
  </si>
  <si>
    <t>I.V.A.</t>
  </si>
  <si>
    <t>Exento</t>
  </si>
  <si>
    <t>I.V.A Adicional</t>
  </si>
  <si>
    <t>I.V.A No Rec</t>
  </si>
  <si>
    <t>Total</t>
  </si>
  <si>
    <t>Empresa :PROYESCO CHILE SPA / Periodo : 01/12/23 al 31/12/23</t>
  </si>
  <si>
    <t>TGR TESORERIA GENERAL DE LA REPUBLICA</t>
  </si>
  <si>
    <t xml:space="preserve"> </t>
  </si>
  <si>
    <t xml:space="preserve">Registros </t>
  </si>
  <si>
    <t xml:space="preserve">Total </t>
  </si>
  <si>
    <t>Factura de Compra Electronica Exenta</t>
  </si>
  <si>
    <t>RSM CHILE CONTABILIDAD Y PROCESOS LIMITADA</t>
  </si>
  <si>
    <t>Factura de compras Electrónica afectas</t>
  </si>
  <si>
    <t>BANCO ITAÚ CHILE</t>
  </si>
  <si>
    <t>KOLFF SPA</t>
  </si>
  <si>
    <t xml:space="preserve">Tipo Factura Recibida </t>
  </si>
  <si>
    <t>Cant.Reg</t>
  </si>
  <si>
    <t>Otros Imp.</t>
  </si>
  <si>
    <t>I.V.A. No Rec</t>
  </si>
  <si>
    <t>Total Resumen :</t>
  </si>
  <si>
    <t>Página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</si>
</sst>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164" formatCode="_ * #,##0.00_ ;_ * \-#,##0.00_ ;_ * &quot;-&quot;_ ;_ @_ 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9"/>
      <color rgb="FF003366"/>
      <name val="Arial"/>
      <family val="2"/>
    </font>
    <font>
      <sz val="8"/>
      <color rgb="FF003366"/>
      <name val="Arial"/>
      <family val="2"/>
    </font>
    <font>
      <sz val="8"/>
      <color rgb="FF0000FF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A6C4D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41" fontId="5" fillId="0" borderId="0" applyFont="0" applyFill="0" applyBorder="0" applyAlignment="0" applyProtection="0"/>
    <xf numFmtId="0" fontId="5" fillId="0" borderId="0"/>
    <xf numFmtId="42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right" vertical="center"/>
    </xf>
    <xf numFmtId="4" fontId="3" fillId="5" borderId="1" xfId="0" applyNumberFormat="1" applyFont="1" applyFill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14" fontId="3" fillId="6" borderId="1" xfId="0" applyNumberFormat="1" applyFont="1" applyFill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0" borderId="0" xfId="0" applyFont="1"/>
    <xf numFmtId="3" fontId="7" fillId="0" borderId="0" xfId="0" applyNumberFormat="1" applyFont="1"/>
    <xf numFmtId="0" fontId="4" fillId="0" borderId="1" xfId="0" applyFont="1" applyBorder="1" applyAlignment="1">
      <alignment horizontal="center" vertical="center"/>
    </xf>
    <xf numFmtId="0" fontId="5" fillId="0" borderId="0" xfId="2"/>
    <xf numFmtId="3" fontId="5" fillId="0" borderId="0" xfId="2" applyNumberFormat="1"/>
    <xf numFmtId="42" fontId="0" fillId="0" borderId="0" xfId="3" applyFont="1"/>
    <xf numFmtId="0" fontId="0" fillId="0" borderId="0" xfId="0" applyAlignment="1">
      <alignment wrapText="1"/>
    </xf>
    <xf numFmtId="14" fontId="0" fillId="0" borderId="0" xfId="0" applyNumberFormat="1"/>
    <xf numFmtId="3" fontId="0" fillId="0" borderId="0" xfId="0" applyNumberFormat="1"/>
  </cellXfs>
  <cellStyles count="4">
    <cellStyle name="Millares [0] 3" xfId="1" xr:uid="{3FC91C92-E908-40EB-8D03-D4B7EDD0D045}"/>
    <cellStyle name="Moneda [0] 2" xfId="3" xr:uid="{067B293F-4AC2-4749-BA4F-0CBC8F9A0E27}"/>
    <cellStyle name="Normal" xfId="0" builtinId="0"/>
    <cellStyle name="Normal 2" xfId="2" xr:uid="{72611E2D-4462-41A8-BBE7-A48C2D2A05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6</xdr:row>
      <xdr:rowOff>66675</xdr:rowOff>
    </xdr:from>
    <xdr:to>
      <xdr:col>10</xdr:col>
      <xdr:colOff>56034</xdr:colOff>
      <xdr:row>42</xdr:row>
      <xdr:rowOff>37375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85C8B1-2ADE-2DAB-840F-0057C6184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038225"/>
          <a:ext cx="8923809" cy="5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13</xdr:col>
      <xdr:colOff>608120</xdr:colOff>
      <xdr:row>52</xdr:row>
      <xdr:rowOff>28389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75DE78-5DFF-1B83-1215-637ADEB1C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62775"/>
          <a:ext cx="11838095" cy="14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257735</xdr:colOff>
      <xdr:row>18</xdr:row>
      <xdr:rowOff>1</xdr:rowOff>
    </xdr:from>
    <xdr:to>
      <xdr:col>10</xdr:col>
      <xdr:colOff>371235</xdr:colOff>
      <xdr:row>52</xdr:row>
      <xdr:rowOff>94572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C3B70ED-E281-23CB-8D96-48B7778A9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1735" y="3305736"/>
          <a:ext cx="6400000" cy="54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780E-1B1A-4E40-900B-B693154536B5}">
  <sheetPr>
    <tabColor rgb="FF002060"/>
  </sheetPr>
  <dimension ref="A3:D5"/>
  <sheetViews>
    <sheetView tabSelected="1" workbookViewId="0">
      <selection activeCell="N11" sqref="N10:N11"/>
    </sheetView>
  </sheetViews>
  <sheetFormatPr baseColWidth="10" defaultRowHeight="12.75" x14ac:dyDescent="0.2"/>
  <cols>
    <col min="1" max="1" width="11.42578125" style="23"/>
    <col min="2" max="2" width="10.140625" style="23" bestFit="1" customWidth="1"/>
    <col min="3" max="3" width="31.7109375" style="23" bestFit="1" customWidth="1"/>
    <col min="4" max="4" width="12.28515625" style="23" bestFit="1" customWidth="1"/>
    <col min="5" max="16384" width="11.42578125" style="23"/>
  </cols>
  <sheetData>
    <row r="3" spans="1:4" x14ac:dyDescent="0.2">
      <c r="B3" s="23" t="s">
        <v>17</v>
      </c>
      <c r="D3" s="23" t="s">
        <v>18</v>
      </c>
    </row>
    <row r="5" spans="1:4" x14ac:dyDescent="0.2">
      <c r="A5" s="23" t="s">
        <v>19</v>
      </c>
      <c r="B5" s="24">
        <f>+DIN!Q17</f>
        <v>52333.399299999997</v>
      </c>
      <c r="C5" s="23" t="s">
        <v>20</v>
      </c>
      <c r="D5" s="25">
        <f>SUMIF('MAGNUS LC'!$D:$D,'CUADRATURA 31.12.2023'!C5,'MAGNUS LC'!$J:$J)</f>
        <v>52333</v>
      </c>
    </row>
  </sheetData>
  <pageMargins left="0.7" right="0.7" top="0.75" bottom="0.75" header="0.3" footer="0.3"/>
  <headerFooter>
    <oddFooter>&amp;C_x000D_&amp;1#&amp;"Calibri"&amp;10&amp;K000000 Clasificación: Interno, no apto para su distribución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624-D601-4DC4-93A7-01F78E40096B}">
  <sheetPr>
    <tabColor rgb="FF002060"/>
  </sheetPr>
  <dimension ref="A1:N28"/>
  <sheetViews>
    <sheetView workbookViewId="0">
      <selection sqref="A1:XFD1048576"/>
    </sheetView>
  </sheetViews>
  <sheetFormatPr baseColWidth="10" defaultRowHeight="12.75" x14ac:dyDescent="0.2"/>
  <sheetData>
    <row r="1" spans="1:14" x14ac:dyDescent="0.2">
      <c r="A1" t="s">
        <v>21</v>
      </c>
    </row>
    <row r="2" spans="1:14" x14ac:dyDescent="0.2">
      <c r="A2" t="s">
        <v>35</v>
      </c>
    </row>
    <row r="3" spans="1:14" ht="38.25" x14ac:dyDescent="0.2">
      <c r="A3" s="26" t="s">
        <v>22</v>
      </c>
      <c r="B3" s="26" t="s">
        <v>23</v>
      </c>
      <c r="C3" s="26" t="s">
        <v>24</v>
      </c>
      <c r="D3" s="26" t="s">
        <v>25</v>
      </c>
      <c r="E3" s="26" t="s">
        <v>26</v>
      </c>
      <c r="F3" t="s">
        <v>27</v>
      </c>
      <c r="G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</row>
    <row r="4" spans="1:14" x14ac:dyDescent="0.2">
      <c r="A4" s="27">
        <v>45278</v>
      </c>
      <c r="B4" s="27">
        <v>45278</v>
      </c>
      <c r="C4">
        <v>20231200011</v>
      </c>
      <c r="D4" t="s">
        <v>20</v>
      </c>
      <c r="E4">
        <v>402029597</v>
      </c>
      <c r="F4">
        <v>608050000</v>
      </c>
      <c r="G4" t="s">
        <v>36</v>
      </c>
      <c r="J4" s="28">
        <v>52333</v>
      </c>
      <c r="N4" s="28">
        <v>52333</v>
      </c>
    </row>
    <row r="5" spans="1:14" x14ac:dyDescent="0.2">
      <c r="A5" t="s">
        <v>37</v>
      </c>
    </row>
    <row r="6" spans="1:14" x14ac:dyDescent="0.2">
      <c r="B6" t="s">
        <v>38</v>
      </c>
      <c r="D6">
        <v>1</v>
      </c>
      <c r="F6" t="s">
        <v>39</v>
      </c>
      <c r="G6" t="s">
        <v>20</v>
      </c>
      <c r="J6" s="28">
        <v>52333</v>
      </c>
      <c r="N6" s="28">
        <v>52333</v>
      </c>
    </row>
    <row r="7" spans="1:14" x14ac:dyDescent="0.2">
      <c r="A7" s="27">
        <v>45261</v>
      </c>
      <c r="B7" s="27">
        <v>45261</v>
      </c>
      <c r="C7">
        <v>20231200001</v>
      </c>
      <c r="D7" t="s">
        <v>40</v>
      </c>
      <c r="E7">
        <v>1331</v>
      </c>
      <c r="F7">
        <v>777163124</v>
      </c>
      <c r="G7" t="s">
        <v>41</v>
      </c>
      <c r="K7" s="28">
        <v>1043472</v>
      </c>
      <c r="N7" s="28">
        <v>1043472</v>
      </c>
    </row>
    <row r="8" spans="1:14" x14ac:dyDescent="0.2">
      <c r="A8" t="s">
        <v>37</v>
      </c>
    </row>
    <row r="9" spans="1:14" x14ac:dyDescent="0.2">
      <c r="B9" t="s">
        <v>38</v>
      </c>
      <c r="D9">
        <v>1</v>
      </c>
      <c r="F9" t="s">
        <v>39</v>
      </c>
      <c r="G9" t="s">
        <v>40</v>
      </c>
      <c r="K9" s="28">
        <v>1043472</v>
      </c>
      <c r="N9" s="28">
        <v>1043472</v>
      </c>
    </row>
    <row r="10" spans="1:14" x14ac:dyDescent="0.2">
      <c r="A10" s="27">
        <v>45267</v>
      </c>
      <c r="B10" s="27">
        <v>45267</v>
      </c>
      <c r="C10">
        <v>20231200002</v>
      </c>
      <c r="D10" t="s">
        <v>42</v>
      </c>
      <c r="E10">
        <v>6413164</v>
      </c>
      <c r="F10">
        <v>970230009</v>
      </c>
      <c r="G10" t="s">
        <v>43</v>
      </c>
      <c r="I10">
        <v>731</v>
      </c>
      <c r="J10">
        <v>139</v>
      </c>
      <c r="N10">
        <v>870</v>
      </c>
    </row>
    <row r="11" spans="1:14" x14ac:dyDescent="0.2">
      <c r="A11" s="27">
        <v>45271</v>
      </c>
      <c r="B11" s="27">
        <v>45271</v>
      </c>
      <c r="C11">
        <v>20231200003</v>
      </c>
      <c r="D11" t="s">
        <v>42</v>
      </c>
      <c r="E11">
        <v>6426323</v>
      </c>
      <c r="F11">
        <v>970230009</v>
      </c>
      <c r="G11" t="s">
        <v>43</v>
      </c>
      <c r="I11" s="28">
        <v>91422</v>
      </c>
      <c r="J11" s="28">
        <v>17370</v>
      </c>
      <c r="N11" s="28">
        <v>108792</v>
      </c>
    </row>
    <row r="12" spans="1:14" x14ac:dyDescent="0.2">
      <c r="A12" s="27">
        <v>45273</v>
      </c>
      <c r="B12" s="27">
        <v>45273</v>
      </c>
      <c r="C12">
        <v>20231200004</v>
      </c>
      <c r="D12" t="s">
        <v>42</v>
      </c>
      <c r="E12">
        <v>6432905</v>
      </c>
      <c r="F12">
        <v>970230009</v>
      </c>
      <c r="G12" t="s">
        <v>43</v>
      </c>
      <c r="I12" s="28">
        <v>96868</v>
      </c>
      <c r="J12" s="28">
        <v>18405</v>
      </c>
      <c r="N12" s="28">
        <v>115273</v>
      </c>
    </row>
    <row r="13" spans="1:14" x14ac:dyDescent="0.2">
      <c r="A13" s="27">
        <v>45279</v>
      </c>
      <c r="B13" s="27">
        <v>45279</v>
      </c>
      <c r="C13">
        <v>20231200005</v>
      </c>
      <c r="D13" t="s">
        <v>42</v>
      </c>
      <c r="E13">
        <v>128038</v>
      </c>
      <c r="F13">
        <v>968416308</v>
      </c>
      <c r="G13" t="s">
        <v>44</v>
      </c>
      <c r="I13" s="28">
        <v>6981311</v>
      </c>
      <c r="J13" s="28">
        <v>1326449</v>
      </c>
      <c r="N13" s="28">
        <v>8307760</v>
      </c>
    </row>
    <row r="14" spans="1:14" x14ac:dyDescent="0.2">
      <c r="A14" s="27">
        <v>45279</v>
      </c>
      <c r="B14" s="27">
        <v>45279</v>
      </c>
      <c r="C14">
        <v>20231200006</v>
      </c>
      <c r="D14" t="s">
        <v>42</v>
      </c>
      <c r="E14">
        <v>128039</v>
      </c>
      <c r="F14">
        <v>968416308</v>
      </c>
      <c r="G14" t="s">
        <v>44</v>
      </c>
      <c r="I14" s="28">
        <v>6512813</v>
      </c>
      <c r="J14" s="28">
        <v>1237434</v>
      </c>
      <c r="N14" s="28">
        <v>7750247</v>
      </c>
    </row>
    <row r="15" spans="1:14" x14ac:dyDescent="0.2">
      <c r="A15" s="27">
        <v>45279</v>
      </c>
      <c r="B15" s="27">
        <v>45279</v>
      </c>
      <c r="C15">
        <v>20231200007</v>
      </c>
      <c r="D15" t="s">
        <v>42</v>
      </c>
      <c r="E15">
        <v>128040</v>
      </c>
      <c r="F15">
        <v>968416308</v>
      </c>
      <c r="G15" t="s">
        <v>44</v>
      </c>
      <c r="I15" s="28">
        <v>3281032</v>
      </c>
      <c r="J15" s="28">
        <v>623396</v>
      </c>
      <c r="N15" s="28">
        <v>3904428</v>
      </c>
    </row>
    <row r="16" spans="1:14" x14ac:dyDescent="0.2">
      <c r="A16" s="27">
        <v>45279</v>
      </c>
      <c r="B16" s="27">
        <v>45279</v>
      </c>
      <c r="C16">
        <v>20231200008</v>
      </c>
      <c r="D16" t="s">
        <v>42</v>
      </c>
      <c r="E16">
        <v>128043</v>
      </c>
      <c r="F16">
        <v>968416308</v>
      </c>
      <c r="G16" t="s">
        <v>44</v>
      </c>
      <c r="I16" s="28">
        <v>1540927</v>
      </c>
      <c r="J16" s="28">
        <v>292776</v>
      </c>
      <c r="N16" s="28">
        <v>1833703</v>
      </c>
    </row>
    <row r="17" spans="1:14" x14ac:dyDescent="0.2">
      <c r="A17" s="27">
        <v>45281</v>
      </c>
      <c r="B17" s="27">
        <v>45281</v>
      </c>
      <c r="C17">
        <v>20231200009</v>
      </c>
      <c r="D17" t="s">
        <v>42</v>
      </c>
      <c r="E17">
        <v>6441008</v>
      </c>
      <c r="F17">
        <v>970230009</v>
      </c>
      <c r="G17" t="s">
        <v>43</v>
      </c>
      <c r="I17" s="28">
        <v>95565</v>
      </c>
      <c r="J17" s="28">
        <v>18157</v>
      </c>
      <c r="N17" s="28">
        <v>113722</v>
      </c>
    </row>
    <row r="18" spans="1:14" x14ac:dyDescent="0.2">
      <c r="A18" s="27">
        <v>45288</v>
      </c>
      <c r="B18" s="27">
        <v>45288</v>
      </c>
      <c r="C18">
        <v>20231200010</v>
      </c>
      <c r="D18" t="s">
        <v>42</v>
      </c>
      <c r="E18">
        <v>6447975</v>
      </c>
      <c r="F18">
        <v>970230009</v>
      </c>
      <c r="G18" t="s">
        <v>43</v>
      </c>
      <c r="I18" s="28">
        <v>97497</v>
      </c>
      <c r="J18" s="28">
        <v>18524</v>
      </c>
      <c r="N18" s="28">
        <v>116021</v>
      </c>
    </row>
    <row r="19" spans="1:14" x14ac:dyDescent="0.2">
      <c r="A19" t="s">
        <v>37</v>
      </c>
    </row>
    <row r="20" spans="1:14" x14ac:dyDescent="0.2">
      <c r="B20" t="s">
        <v>38</v>
      </c>
      <c r="D20">
        <v>9</v>
      </c>
      <c r="F20" t="s">
        <v>39</v>
      </c>
      <c r="G20" t="s">
        <v>42</v>
      </c>
      <c r="I20" s="28">
        <v>18698166</v>
      </c>
      <c r="J20" s="28">
        <v>3552650</v>
      </c>
      <c r="N20" s="28">
        <v>22250816</v>
      </c>
    </row>
    <row r="21" spans="1:14" x14ac:dyDescent="0.2">
      <c r="B21" t="s">
        <v>45</v>
      </c>
      <c r="F21" t="s">
        <v>46</v>
      </c>
      <c r="G21" t="s">
        <v>31</v>
      </c>
      <c r="H21" t="s">
        <v>29</v>
      </c>
      <c r="I21" t="s">
        <v>30</v>
      </c>
      <c r="J21" t="s">
        <v>47</v>
      </c>
      <c r="L21" t="s">
        <v>48</v>
      </c>
      <c r="M21" t="s">
        <v>34</v>
      </c>
    </row>
    <row r="22" spans="1:14" x14ac:dyDescent="0.2">
      <c r="B22" t="s">
        <v>20</v>
      </c>
      <c r="F22">
        <v>1</v>
      </c>
      <c r="I22" s="28">
        <v>52333</v>
      </c>
      <c r="M22" s="28">
        <v>52333</v>
      </c>
    </row>
    <row r="23" spans="1:14" x14ac:dyDescent="0.2">
      <c r="B23" t="s">
        <v>40</v>
      </c>
      <c r="F23">
        <v>1</v>
      </c>
      <c r="G23" s="28">
        <v>1043472</v>
      </c>
      <c r="M23" s="28">
        <v>1043472</v>
      </c>
    </row>
    <row r="24" spans="1:14" x14ac:dyDescent="0.2">
      <c r="B24" t="s">
        <v>42</v>
      </c>
      <c r="F24">
        <v>9</v>
      </c>
      <c r="H24" s="28">
        <v>18698166</v>
      </c>
      <c r="I24" s="28">
        <v>3552650</v>
      </c>
      <c r="M24" s="28">
        <v>22250816</v>
      </c>
    </row>
    <row r="25" spans="1:14" x14ac:dyDescent="0.2">
      <c r="A25" t="s">
        <v>37</v>
      </c>
    </row>
    <row r="26" spans="1:14" x14ac:dyDescent="0.2">
      <c r="B26" t="s">
        <v>49</v>
      </c>
      <c r="F26">
        <v>11</v>
      </c>
      <c r="G26" s="28">
        <v>1043472</v>
      </c>
      <c r="H26" s="28">
        <v>18698166</v>
      </c>
      <c r="I26" s="28">
        <v>3604983</v>
      </c>
      <c r="M26" s="28">
        <v>23346621</v>
      </c>
    </row>
    <row r="27" spans="1:14" x14ac:dyDescent="0.2">
      <c r="A27" t="s">
        <v>37</v>
      </c>
    </row>
    <row r="28" spans="1:14" x14ac:dyDescent="0.2">
      <c r="M28" t="s">
        <v>50</v>
      </c>
    </row>
  </sheetData>
  <pageMargins left="0.7" right="0.7" top="0.75" bottom="0.75" header="0.3" footer="0.3"/>
  <headerFooter>
    <oddFooter>&amp;C_x000D_&amp;1#&amp;"Calibri"&amp;10&amp;K000000 Clasificación: Interno, no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F7A08-F181-4F8C-BFDB-FB2584998A19}">
  <sheetPr>
    <tabColor rgb="FF002060"/>
  </sheetPr>
  <dimension ref="C1:R17"/>
  <sheetViews>
    <sheetView zoomScale="85" zoomScaleNormal="85" workbookViewId="0">
      <selection activeCell="F2" sqref="F2"/>
    </sheetView>
  </sheetViews>
  <sheetFormatPr baseColWidth="10" defaultRowHeight="12.75" x14ac:dyDescent="0.2"/>
  <cols>
    <col min="4" max="4" width="18.7109375" bestFit="1" customWidth="1"/>
    <col min="5" max="5" width="6.42578125" bestFit="1" customWidth="1"/>
    <col min="9" max="10" width="11.7109375" bestFit="1" customWidth="1"/>
    <col min="11" max="11" width="7" customWidth="1"/>
    <col min="12" max="12" width="6.140625" bestFit="1" customWidth="1"/>
    <col min="16" max="16" width="13.7109375" bestFit="1" customWidth="1"/>
    <col min="17" max="17" width="15.85546875" customWidth="1"/>
    <col min="18" max="18" width="13.7109375" bestFit="1" customWidth="1"/>
    <col min="19" max="19" width="2.42578125" customWidth="1"/>
  </cols>
  <sheetData>
    <row r="1" spans="3:18" ht="36.75" thickBot="1" x14ac:dyDescent="0.25"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 spans="3:18" ht="13.5" thickBot="1" x14ac:dyDescent="0.25">
      <c r="C2" s="3" t="s">
        <v>16</v>
      </c>
      <c r="D2" s="4" t="s">
        <v>15</v>
      </c>
      <c r="E2" s="3">
        <v>17</v>
      </c>
      <c r="F2" s="5">
        <v>402029597</v>
      </c>
      <c r="G2" s="6">
        <v>45278</v>
      </c>
      <c r="H2" s="6">
        <v>45293</v>
      </c>
      <c r="I2" s="7">
        <v>78.12</v>
      </c>
      <c r="J2" s="8">
        <f t="shared" ref="J2:J6" si="0">I2*K2</f>
        <v>67922.996400000004</v>
      </c>
      <c r="K2" s="9">
        <v>869.47</v>
      </c>
      <c r="M2" s="10">
        <f t="shared" ref="M2:M6" si="1">+N2*100/19</f>
        <v>316.78947368421052</v>
      </c>
      <c r="N2" s="11">
        <v>60.19</v>
      </c>
      <c r="O2" s="10">
        <f t="shared" ref="O2:O4" si="2">+N2+M2</f>
        <v>376.97947368421052</v>
      </c>
      <c r="P2" s="10">
        <f t="shared" ref="P2" si="3">M2*K2</f>
        <v>275438.94368421054</v>
      </c>
      <c r="Q2" s="12">
        <f t="shared" ref="Q2:Q6" si="4">K2*N2</f>
        <v>52333.399299999997</v>
      </c>
      <c r="R2" s="10">
        <f t="shared" ref="R2" si="5">+Q2+P2</f>
        <v>327772.34298421053</v>
      </c>
    </row>
    <row r="3" spans="3:18" ht="13.5" thickBot="1" x14ac:dyDescent="0.25">
      <c r="C3" s="13"/>
      <c r="D3" s="14"/>
      <c r="E3" s="13"/>
      <c r="F3" s="19"/>
      <c r="G3" s="15"/>
      <c r="H3" s="15"/>
      <c r="I3" s="16"/>
      <c r="J3" s="17">
        <f t="shared" si="0"/>
        <v>0</v>
      </c>
      <c r="K3" s="18"/>
      <c r="M3" s="10">
        <f t="shared" si="1"/>
        <v>0</v>
      </c>
      <c r="N3" s="11"/>
      <c r="O3" s="10">
        <f t="shared" si="2"/>
        <v>0</v>
      </c>
      <c r="P3" s="10">
        <f t="shared" ref="P3:P4" si="6">M3*K3</f>
        <v>0</v>
      </c>
      <c r="Q3" s="12">
        <f t="shared" si="4"/>
        <v>0</v>
      </c>
      <c r="R3" s="10">
        <f t="shared" ref="R3:R4" si="7">+Q3+P3</f>
        <v>0</v>
      </c>
    </row>
    <row r="4" spans="3:18" ht="13.5" thickBot="1" x14ac:dyDescent="0.25">
      <c r="C4" s="3"/>
      <c r="D4" s="4"/>
      <c r="E4" s="3"/>
      <c r="F4" s="5"/>
      <c r="G4" s="6"/>
      <c r="H4" s="6"/>
      <c r="I4" s="7"/>
      <c r="J4" s="8">
        <f t="shared" si="0"/>
        <v>0</v>
      </c>
      <c r="K4" s="9"/>
      <c r="M4" s="10">
        <f t="shared" si="1"/>
        <v>0</v>
      </c>
      <c r="N4" s="11"/>
      <c r="O4" s="10">
        <f t="shared" si="2"/>
        <v>0</v>
      </c>
      <c r="P4" s="10">
        <f t="shared" si="6"/>
        <v>0</v>
      </c>
      <c r="Q4" s="12">
        <f t="shared" si="4"/>
        <v>0</v>
      </c>
      <c r="R4" s="10">
        <f t="shared" si="7"/>
        <v>0</v>
      </c>
    </row>
    <row r="5" spans="3:18" ht="13.5" thickBot="1" x14ac:dyDescent="0.25">
      <c r="C5" s="13"/>
      <c r="D5" s="14"/>
      <c r="E5" s="13"/>
      <c r="F5" s="19"/>
      <c r="G5" s="15"/>
      <c r="H5" s="15"/>
      <c r="I5" s="16"/>
      <c r="J5" s="17">
        <f t="shared" si="0"/>
        <v>0</v>
      </c>
      <c r="K5" s="18"/>
      <c r="M5" s="10">
        <f t="shared" si="1"/>
        <v>0</v>
      </c>
      <c r="N5" s="11"/>
      <c r="O5" s="10">
        <f t="shared" ref="O5:O6" si="8">+N5+M5</f>
        <v>0</v>
      </c>
      <c r="P5" s="10">
        <f t="shared" ref="P5" si="9">M5*K5</f>
        <v>0</v>
      </c>
      <c r="Q5" s="12">
        <f t="shared" si="4"/>
        <v>0</v>
      </c>
      <c r="R5" s="10">
        <f t="shared" ref="R5" si="10">+Q5+P5</f>
        <v>0</v>
      </c>
    </row>
    <row r="6" spans="3:18" ht="13.5" thickBot="1" x14ac:dyDescent="0.25">
      <c r="C6" s="3"/>
      <c r="D6" s="4"/>
      <c r="E6" s="3"/>
      <c r="F6" s="22"/>
      <c r="G6" s="6"/>
      <c r="H6" s="6"/>
      <c r="I6" s="7"/>
      <c r="J6" s="8">
        <f t="shared" si="0"/>
        <v>0</v>
      </c>
      <c r="K6" s="9"/>
      <c r="M6" s="10">
        <f t="shared" si="1"/>
        <v>0</v>
      </c>
      <c r="N6" s="11"/>
      <c r="O6" s="10">
        <f t="shared" si="8"/>
        <v>0</v>
      </c>
      <c r="P6" s="10">
        <f t="shared" ref="P6" si="11">M6*K6</f>
        <v>0</v>
      </c>
      <c r="Q6" s="12">
        <f t="shared" si="4"/>
        <v>0</v>
      </c>
      <c r="R6" s="10">
        <f t="shared" ref="R6" si="12">+Q6+P6</f>
        <v>0</v>
      </c>
    </row>
    <row r="7" spans="3:18" ht="13.5" thickBot="1" x14ac:dyDescent="0.25">
      <c r="C7" s="3"/>
      <c r="D7" s="4"/>
      <c r="E7" s="3"/>
      <c r="F7" s="5"/>
      <c r="G7" s="6"/>
      <c r="H7" s="6"/>
      <c r="I7" s="7"/>
      <c r="J7" s="8"/>
      <c r="K7" s="9"/>
      <c r="L7" s="20"/>
      <c r="M7" s="10"/>
      <c r="N7" s="11"/>
      <c r="O7" s="10"/>
      <c r="P7" s="10"/>
      <c r="Q7" s="12"/>
      <c r="R7" s="10"/>
    </row>
    <row r="8" spans="3:18" ht="13.5" thickBot="1" x14ac:dyDescent="0.25">
      <c r="C8" s="13"/>
      <c r="D8" s="14"/>
      <c r="E8" s="13"/>
      <c r="F8" s="19"/>
      <c r="G8" s="15"/>
      <c r="H8" s="15"/>
      <c r="I8" s="16"/>
      <c r="J8" s="17"/>
      <c r="K8" s="18"/>
      <c r="L8" s="20"/>
      <c r="M8" s="10"/>
      <c r="N8" s="11"/>
      <c r="O8" s="10"/>
      <c r="P8" s="10"/>
      <c r="Q8" s="12"/>
      <c r="R8" s="10"/>
    </row>
    <row r="9" spans="3:18" ht="13.5" thickBot="1" x14ac:dyDescent="0.25">
      <c r="C9" s="3"/>
      <c r="D9" s="4"/>
      <c r="E9" s="3"/>
      <c r="F9" s="5"/>
      <c r="G9" s="6"/>
      <c r="H9" s="6"/>
      <c r="I9" s="7"/>
      <c r="J9" s="8"/>
      <c r="K9" s="9"/>
      <c r="L9" s="20"/>
      <c r="M9" s="10"/>
      <c r="N9" s="11"/>
      <c r="O9" s="10"/>
      <c r="P9" s="10"/>
      <c r="Q9" s="12"/>
      <c r="R9" s="10"/>
    </row>
    <row r="10" spans="3:18" ht="13.5" thickBot="1" x14ac:dyDescent="0.25">
      <c r="C10" s="13"/>
      <c r="D10" s="14"/>
      <c r="E10" s="13"/>
      <c r="F10" s="19"/>
      <c r="G10" s="15"/>
      <c r="H10" s="15"/>
      <c r="I10" s="16"/>
      <c r="J10" s="17"/>
      <c r="K10" s="18"/>
      <c r="L10" s="20"/>
      <c r="M10" s="10"/>
      <c r="N10" s="11"/>
      <c r="O10" s="10"/>
      <c r="P10" s="10"/>
      <c r="Q10" s="12"/>
      <c r="R10" s="10"/>
    </row>
    <row r="11" spans="3:18" ht="13.5" thickBot="1" x14ac:dyDescent="0.25">
      <c r="C11" s="3"/>
      <c r="D11" s="4"/>
      <c r="E11" s="3"/>
      <c r="F11" s="5"/>
      <c r="G11" s="6"/>
      <c r="H11" s="6"/>
      <c r="I11" s="7"/>
      <c r="J11" s="8"/>
      <c r="K11" s="9"/>
      <c r="L11" s="20"/>
      <c r="M11" s="10"/>
      <c r="N11" s="11"/>
      <c r="O11" s="10"/>
      <c r="P11" s="10"/>
      <c r="Q11" s="12"/>
      <c r="R11" s="10"/>
    </row>
    <row r="12" spans="3:18" ht="13.5" thickBot="1" x14ac:dyDescent="0.25">
      <c r="C12" s="13"/>
      <c r="D12" s="14"/>
      <c r="E12" s="13"/>
      <c r="F12" s="19"/>
      <c r="G12" s="15"/>
      <c r="H12" s="15"/>
      <c r="I12" s="16"/>
      <c r="J12" s="17"/>
      <c r="K12" s="18"/>
      <c r="L12" s="20"/>
      <c r="M12" s="10"/>
      <c r="N12" s="11"/>
      <c r="O12" s="10"/>
      <c r="P12" s="10"/>
      <c r="Q12" s="12"/>
      <c r="R12" s="10"/>
    </row>
    <row r="13" spans="3:18" ht="13.5" thickBot="1" x14ac:dyDescent="0.25">
      <c r="C13" s="3"/>
      <c r="D13" s="4"/>
      <c r="E13" s="3"/>
      <c r="F13" s="5"/>
      <c r="G13" s="6"/>
      <c r="H13" s="6"/>
      <c r="I13" s="7"/>
      <c r="J13" s="8"/>
      <c r="K13" s="9"/>
      <c r="L13" s="20"/>
      <c r="M13" s="10"/>
      <c r="N13" s="11"/>
      <c r="O13" s="10"/>
      <c r="P13" s="10"/>
      <c r="Q13" s="12"/>
      <c r="R13" s="10"/>
    </row>
    <row r="14" spans="3:18" ht="13.5" thickBot="1" x14ac:dyDescent="0.25">
      <c r="C14" s="13"/>
      <c r="D14" s="14"/>
      <c r="E14" s="13"/>
      <c r="F14" s="19"/>
      <c r="G14" s="15"/>
      <c r="H14" s="15"/>
      <c r="I14" s="16"/>
      <c r="J14" s="17"/>
      <c r="K14" s="18"/>
      <c r="L14" s="20"/>
      <c r="M14" s="10"/>
      <c r="N14" s="11"/>
      <c r="O14" s="10"/>
      <c r="P14" s="10"/>
      <c r="Q14" s="12"/>
      <c r="R14" s="10"/>
    </row>
    <row r="15" spans="3:18" ht="13.5" thickBot="1" x14ac:dyDescent="0.25">
      <c r="C15" s="3"/>
      <c r="D15" s="4"/>
      <c r="E15" s="3"/>
      <c r="F15" s="5"/>
      <c r="G15" s="6"/>
      <c r="H15" s="6"/>
      <c r="I15" s="7"/>
      <c r="J15" s="8"/>
      <c r="K15" s="9"/>
      <c r="L15" s="20"/>
      <c r="M15" s="10"/>
      <c r="N15" s="11"/>
      <c r="O15" s="10"/>
      <c r="P15" s="10"/>
      <c r="Q15" s="12"/>
      <c r="R15" s="10"/>
    </row>
    <row r="16" spans="3:18" ht="13.5" thickBot="1" x14ac:dyDescent="0.25">
      <c r="C16" s="13"/>
      <c r="D16" s="14"/>
      <c r="E16" s="13"/>
      <c r="F16" s="19"/>
      <c r="G16" s="15"/>
      <c r="H16" s="15"/>
      <c r="I16" s="16"/>
      <c r="J16" s="17"/>
      <c r="K16" s="18"/>
      <c r="L16" s="20"/>
      <c r="M16" s="10"/>
      <c r="N16" s="11"/>
      <c r="O16" s="10"/>
      <c r="P16" s="10"/>
      <c r="Q16" s="12"/>
      <c r="R16" s="10"/>
    </row>
    <row r="17" spans="12:18" x14ac:dyDescent="0.2">
      <c r="L17">
        <f>COUNT(L6:L16)</f>
        <v>0</v>
      </c>
      <c r="M17" s="21">
        <f t="shared" ref="M17:R17" si="13">SUM(M2:M16)</f>
        <v>316.78947368421052</v>
      </c>
      <c r="N17" s="21">
        <f t="shared" si="13"/>
        <v>60.19</v>
      </c>
      <c r="O17" s="21">
        <f t="shared" si="13"/>
        <v>376.97947368421052</v>
      </c>
      <c r="P17" s="21">
        <f t="shared" si="13"/>
        <v>275438.94368421054</v>
      </c>
      <c r="Q17" s="21">
        <f t="shared" si="13"/>
        <v>52333.399299999997</v>
      </c>
      <c r="R17" s="21">
        <f t="shared" si="13"/>
        <v>327772.34298421053</v>
      </c>
    </row>
  </sheetData>
  <pageMargins left="0.7" right="0.7" top="0.75" bottom="0.75" header="0.3" footer="0.3"/>
  <headerFooter>
    <oddFooter>&amp;C_x000D_&amp;1#&amp;"Calibri"&amp;10&amp;K000000 Clasificación: Interno, no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516FE7-7F54-449D-9D1B-459F97C62D10}"/>
</file>

<file path=customXml/itemProps2.xml><?xml version="1.0" encoding="utf-8"?>
<ds:datastoreItem xmlns:ds="http://schemas.openxmlformats.org/officeDocument/2006/customXml" ds:itemID="{A543FC92-FF08-4D3E-95F7-57A5B1CEE7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CUADRATURA 31.12.2023</vt:lpstr>
      <vt:lpstr>MAGNUS LC</vt:lpstr>
      <vt:lpstr>DIN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Belen Ayala Leon</dc:creator>
  <cp:lastModifiedBy>Valentina Belen Ayala Leon</cp:lastModifiedBy>
  <dcterms:created xsi:type="dcterms:W3CDTF">2023-10-03T13:12:41Z</dcterms:created>
  <dcterms:modified xsi:type="dcterms:W3CDTF">2024-02-06T11:30:20Z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3d2621-260c-42db-8aea-42fd547000da_Enabled">
    <vt:lpwstr>true</vt:lpwstr>
  </property>
  <property fmtid="{D5CDD505-2E9C-101B-9397-08002B2CF9AE}" pid="3" name="MSIP_Label_293d2621-260c-42db-8aea-42fd547000da_SetDate">
    <vt:lpwstr>2024-02-06T11:29:09Z</vt:lpwstr>
  </property>
  <property fmtid="{D5CDD505-2E9C-101B-9397-08002B2CF9AE}" pid="4" name="MSIP_Label_293d2621-260c-42db-8aea-42fd547000da_Method">
    <vt:lpwstr>Privileged</vt:lpwstr>
  </property>
  <property fmtid="{D5CDD505-2E9C-101B-9397-08002B2CF9AE}" pid="5" name="MSIP_Label_293d2621-260c-42db-8aea-42fd547000da_Name">
    <vt:lpwstr>Interno</vt:lpwstr>
  </property>
  <property fmtid="{D5CDD505-2E9C-101B-9397-08002B2CF9AE}" pid="6" name="MSIP_Label_293d2621-260c-42db-8aea-42fd547000da_SiteId">
    <vt:lpwstr>ad9dc499-26eb-41de-90c1-2c7cfce752f9</vt:lpwstr>
  </property>
  <property fmtid="{D5CDD505-2E9C-101B-9397-08002B2CF9AE}" pid="7" name="MSIP_Label_293d2621-260c-42db-8aea-42fd547000da_ActionId">
    <vt:lpwstr>6540cd73-258e-4737-8bda-ec8b05eb0a86</vt:lpwstr>
  </property>
  <property fmtid="{D5CDD505-2E9C-101B-9397-08002B2CF9AE}" pid="8" name="MSIP_Label_293d2621-260c-42db-8aea-42fd547000da_ContentBits">
    <vt:lpwstr>2</vt:lpwstr>
  </property>
</Properties>
</file>