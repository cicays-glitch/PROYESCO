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rsmchilespa-my.sharepoint.com/personal/valentina_ayala_rsmchile_cl/Documents/Perfil/Desktop/CLIENTES/19.PROYESCO CHILE SPA/Documentacion/2023 12 Diciembre/LC/"/>
    </mc:Choice>
  </mc:AlternateContent>
  <xr:revisionPtr revIDLastSave="7335" documentId="13_ncr:1_{651FE9CB-B456-4661-8152-4531F111523C}" xr6:coauthVersionLast="47" xr6:coauthVersionMax="47" xr10:uidLastSave="{3EF73E69-9BAB-49EB-9226-12BA54E89665}"/>
  <bookViews>
    <workbookView xWindow="-120" yWindow="-120" windowWidth="20640" windowHeight="11040" activeTab="3" xr2:uid="{00000000-000D-0000-FFFF-FFFF00000000}"/>
  </bookViews>
  <sheets>
    <sheet name="Cuadratura 31.12.2023" sheetId="35" r:id="rId1"/>
    <sheet name="MAGNUS LC" sheetId="43" r:id="rId2"/>
    <sheet name="balance" sheetId="17" state="hidden" r:id="rId3"/>
    <sheet name="Planilla Compras unificada" sheetId="32" r:id="rId4"/>
    <sheet name="01-31" sheetId="57" r:id="rId5"/>
    <sheet name="ASIGNACION" sheetId="18" r:id="rId6"/>
    <sheet name="Titulares" sheetId="16" r:id="rId7"/>
    <sheet name="31.12.2023" sheetId="47" r:id="rId8"/>
    <sheet name="MAGNUS" sheetId="39" r:id="rId9"/>
    <sheet name="Cuentas" sheetId="14" state="hidden" r:id="rId10"/>
  </sheets>
  <definedNames>
    <definedName name="_xlnm._FilterDatabase" localSheetId="4" hidden="1">'01-31'!$A$1:$P$26</definedName>
    <definedName name="_xlnm._FilterDatabase" localSheetId="7" hidden="1">'31.12.2023'!$A$1:$AA$1</definedName>
    <definedName name="_xlnm._FilterDatabase" localSheetId="5" hidden="1">ASIGNACION!$A$1:$Q$17</definedName>
    <definedName name="_xlnm._FilterDatabase" localSheetId="9" hidden="1">Cuentas!$A$1:$E$27</definedName>
    <definedName name="_xlnm._FilterDatabase" localSheetId="3" hidden="1">'Planilla Compras unificada'!$A$1:$P$19</definedName>
    <definedName name="_xlnm._FilterDatabase" localSheetId="6" hidden="1">Titulares!$A$1:$F$7</definedName>
    <definedName name="MG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8" l="1"/>
  <c r="O2" i="18" s="1"/>
  <c r="N3" i="18"/>
  <c r="O3" i="18" s="1"/>
  <c r="N4" i="18"/>
  <c r="O4" i="18" s="1"/>
  <c r="N5" i="18"/>
  <c r="O5" i="18" s="1"/>
  <c r="N6" i="18"/>
  <c r="O6" i="18" s="1"/>
  <c r="N7" i="18"/>
  <c r="O7" i="18" s="1"/>
  <c r="N8" i="18"/>
  <c r="O8" i="18" s="1"/>
  <c r="N9" i="18"/>
  <c r="O9" i="18" s="1"/>
  <c r="N10" i="18"/>
  <c r="O10" i="18" s="1"/>
  <c r="N11" i="18"/>
  <c r="O11" i="18" s="1"/>
  <c r="N12" i="18"/>
  <c r="O12" i="18" s="1"/>
  <c r="N13" i="18"/>
  <c r="O13" i="18" s="1"/>
  <c r="N14" i="18"/>
  <c r="O14" i="18" s="1"/>
  <c r="N15" i="18"/>
  <c r="O15" i="18" s="1"/>
  <c r="N16" i="18"/>
  <c r="O16" i="18" s="1"/>
  <c r="N17" i="18"/>
  <c r="O17" i="18" s="1"/>
  <c r="N18" i="18"/>
  <c r="O18" i="18" s="1"/>
  <c r="N19" i="18"/>
  <c r="O19" i="18" s="1"/>
  <c r="N20" i="18"/>
  <c r="O20" i="18" s="1"/>
  <c r="N21" i="18"/>
  <c r="O21" i="18" s="1"/>
  <c r="N22" i="18"/>
  <c r="O22" i="18" s="1"/>
  <c r="N23" i="18"/>
  <c r="O23" i="18" s="1"/>
  <c r="N24" i="18"/>
  <c r="O24" i="18" s="1"/>
  <c r="N25" i="18"/>
  <c r="O25" i="18" s="1"/>
  <c r="H15" i="35"/>
  <c r="G15" i="35"/>
  <c r="H14" i="35"/>
  <c r="H16" i="35"/>
  <c r="H13" i="35"/>
  <c r="G14" i="35"/>
  <c r="G16" i="35"/>
  <c r="G13" i="35"/>
  <c r="F14" i="35"/>
  <c r="F15" i="35"/>
  <c r="F16" i="35"/>
  <c r="F13" i="35"/>
  <c r="E14" i="35"/>
  <c r="E15" i="35"/>
  <c r="E16" i="35"/>
  <c r="E13" i="35"/>
  <c r="E18" i="35" l="1"/>
  <c r="H5" i="35"/>
  <c r="N26" i="18"/>
  <c r="O26" i="18" s="1"/>
  <c r="N27" i="18"/>
  <c r="O27" i="18" s="1"/>
  <c r="N28" i="18"/>
  <c r="O28" i="18" s="1"/>
  <c r="N29" i="18"/>
  <c r="O29" i="18" s="1"/>
  <c r="N30" i="18"/>
  <c r="O30" i="18" s="1"/>
  <c r="N31" i="18"/>
  <c r="O31" i="18" s="1"/>
  <c r="N32" i="18"/>
  <c r="O32" i="18" s="1"/>
  <c r="N33" i="18"/>
  <c r="O33" i="18" s="1"/>
  <c r="N34" i="18"/>
  <c r="O34" i="18" s="1"/>
  <c r="N35" i="18"/>
  <c r="O35" i="18" s="1"/>
  <c r="N36" i="18"/>
  <c r="O36" i="18" s="1"/>
  <c r="N37" i="18"/>
  <c r="O37" i="18" s="1"/>
  <c r="N38" i="18"/>
  <c r="O38" i="18" s="1"/>
  <c r="N39" i="18"/>
  <c r="O39" i="18" s="1"/>
  <c r="N40" i="18"/>
  <c r="O40" i="18" s="1"/>
  <c r="N41" i="18"/>
  <c r="O41" i="18" s="1"/>
  <c r="N42" i="18"/>
  <c r="O42" i="18" s="1"/>
  <c r="N43" i="18"/>
  <c r="O43" i="18" s="1"/>
  <c r="N44" i="18"/>
  <c r="O44" i="18" s="1"/>
  <c r="N45" i="18"/>
  <c r="O45" i="18" s="1"/>
  <c r="N46" i="18"/>
  <c r="O46" i="18" s="1"/>
  <c r="N47" i="18"/>
  <c r="O47" i="18" s="1"/>
  <c r="N48" i="18"/>
  <c r="O48" i="18" s="1"/>
  <c r="N49" i="18"/>
  <c r="O49" i="18" s="1"/>
  <c r="N50" i="18"/>
  <c r="O50" i="18" s="1"/>
  <c r="N51" i="18"/>
  <c r="O51" i="18" s="1"/>
  <c r="N52" i="18"/>
  <c r="O52" i="18" s="1"/>
  <c r="N53" i="18"/>
  <c r="O53" i="18" s="1"/>
  <c r="N54" i="18"/>
  <c r="O54" i="18" s="1"/>
  <c r="N55" i="18"/>
  <c r="O55" i="18" s="1"/>
  <c r="H6" i="35"/>
  <c r="H4" i="35"/>
  <c r="H3" i="35"/>
  <c r="G3" i="35"/>
  <c r="G4" i="35"/>
  <c r="G6" i="35"/>
  <c r="G5" i="35"/>
  <c r="F6" i="35"/>
  <c r="F5" i="35"/>
  <c r="F4" i="35"/>
  <c r="F3" i="35"/>
  <c r="E6" i="35"/>
  <c r="E5" i="35"/>
  <c r="E4" i="35"/>
  <c r="E3" i="35"/>
  <c r="K15" i="35" l="1"/>
  <c r="K5" i="35"/>
  <c r="F18" i="35"/>
  <c r="G18" i="35"/>
  <c r="G8" i="35"/>
  <c r="F8" i="35"/>
  <c r="H8" i="35"/>
  <c r="H18" i="35"/>
  <c r="H25" i="35"/>
  <c r="G24" i="35"/>
  <c r="E24" i="35"/>
  <c r="F24" i="35"/>
  <c r="H24" i="35"/>
  <c r="E8" i="35"/>
  <c r="K6" i="35"/>
  <c r="E23" i="35"/>
  <c r="K4" i="35"/>
  <c r="H23" i="35"/>
  <c r="G23" i="35"/>
  <c r="F23" i="35"/>
  <c r="K14" i="35"/>
  <c r="G25" i="35"/>
  <c r="E25" i="35"/>
  <c r="K13" i="35"/>
  <c r="F25" i="35"/>
  <c r="E26" i="35"/>
  <c r="F26" i="35"/>
  <c r="G26" i="35"/>
  <c r="H26" i="35"/>
  <c r="K16" i="35"/>
  <c r="K3" i="35"/>
  <c r="J19" i="35" l="1"/>
  <c r="J9" i="35"/>
  <c r="L17" i="35"/>
  <c r="L7" i="35"/>
  <c r="K25" i="35"/>
  <c r="K26" i="35"/>
  <c r="K24" i="35"/>
  <c r="K23" i="35"/>
  <c r="L19" i="35" l="1"/>
  <c r="L9" i="35"/>
  <c r="J126" i="17" l="1"/>
  <c r="J128" i="17"/>
  <c r="I126" i="17"/>
  <c r="H126" i="17"/>
  <c r="G126" i="17"/>
  <c r="G128" i="17"/>
  <c r="F126" i="17"/>
  <c r="F128" i="17"/>
  <c r="E126" i="17"/>
  <c r="E128" i="17"/>
  <c r="D126" i="17"/>
  <c r="D128" i="17"/>
  <c r="C126" i="17"/>
  <c r="C128" i="17"/>
  <c r="H128" i="17"/>
  <c r="I127" i="17"/>
  <c r="I128" i="17"/>
  <c r="H127" i="17"/>
</calcChain>
</file>

<file path=xl/sharedStrings.xml><?xml version="1.0" encoding="utf-8"?>
<sst xmlns="http://schemas.openxmlformats.org/spreadsheetml/2006/main" count="974" uniqueCount="297">
  <si>
    <t>Nro</t>
  </si>
  <si>
    <t>Tipo Doc</t>
  </si>
  <si>
    <t>Tipo Compra</t>
  </si>
  <si>
    <t>RUT Proveedor</t>
  </si>
  <si>
    <t>Razon Social</t>
  </si>
  <si>
    <t>Folio</t>
  </si>
  <si>
    <t>Fecha Docto</t>
  </si>
  <si>
    <t>Monto Exento</t>
  </si>
  <si>
    <t>Monto Neto</t>
  </si>
  <si>
    <t>Monto IVA Recuperable</t>
  </si>
  <si>
    <t>Monto Iva No Recuperable</t>
  </si>
  <si>
    <t>Monto Total</t>
  </si>
  <si>
    <t>Nombre Cuenta</t>
  </si>
  <si>
    <t>Numero cta Magnus</t>
  </si>
  <si>
    <t>RESPALDO PDF</t>
  </si>
  <si>
    <t>Del Giro</t>
  </si>
  <si>
    <t>Glosa documento/descripcion gasto o servicio</t>
  </si>
  <si>
    <t>SERVICIOS DE TELECOMUNICACION</t>
  </si>
  <si>
    <t>GASTO DE TELEFONIA MOVIL</t>
  </si>
  <si>
    <t>ARRIENDO DE BODEGAS</t>
  </si>
  <si>
    <t>UTILES DE OFICINA Y PAPELERIA</t>
  </si>
  <si>
    <t>ARRIENDOS</t>
  </si>
  <si>
    <t>HONORARIOS POR ASESORIAS INFORMATICAS</t>
  </si>
  <si>
    <t>UNIFORMES</t>
  </si>
  <si>
    <t>SUMINISTROS PUBLICIDAD Y MARKETING</t>
  </si>
  <si>
    <t>EXISTENCIAS NACIONALES</t>
  </si>
  <si>
    <t>HONORARIOS PROFESIONALES</t>
  </si>
  <si>
    <t>MUEBLES, UTILES Y OTROS</t>
  </si>
  <si>
    <t>SEGUROS</t>
  </si>
  <si>
    <t>ASESORIA CONTABLE</t>
  </si>
  <si>
    <t>SUMINISTROS Y MATERIALES DE TIENDAS</t>
  </si>
  <si>
    <t>COSTOS OPERATIVOS  FLETES INTERNOS</t>
  </si>
  <si>
    <t>COMISIÓN  CANAL DIGITAL</t>
  </si>
  <si>
    <t>FLETES  CANAL DIGITAL</t>
  </si>
  <si>
    <t>SERVICIOS   CANAL DIGITAL</t>
  </si>
  <si>
    <t>LOGISTICA INTERNACION</t>
  </si>
  <si>
    <t>COMISIONES Y GASTOS BANCARIOS</t>
  </si>
  <si>
    <t>PROVISIONES VARIAS</t>
  </si>
  <si>
    <t>EQUIPOS COMPUTACIONALES</t>
  </si>
  <si>
    <t>Titular</t>
  </si>
  <si>
    <t>Nombre Titular</t>
  </si>
  <si>
    <t>Nro Doc</t>
  </si>
  <si>
    <t>NUMERO CTA</t>
  </si>
  <si>
    <t>GASTO</t>
  </si>
  <si>
    <t>GASTOS DE PUBLICIDAD Y MARKETING</t>
  </si>
  <si>
    <t>GASTO MANTENCION SUCURSALES</t>
  </si>
  <si>
    <t>MEMBRESÍAS Y ASOCIACIONES</t>
  </si>
  <si>
    <t>COMISIÓN - CANAL DIGITAL</t>
  </si>
  <si>
    <t>OTROS ARRIENDOS</t>
  </si>
  <si>
    <t>SERVICIOS  - CANAL DIGITAL</t>
  </si>
  <si>
    <t>FLETES - CANAL DIGITAL</t>
  </si>
  <si>
    <t>GASTOS FACTURACION ELECTRONICA</t>
  </si>
  <si>
    <t>Balance General IFRS</t>
  </si>
  <si>
    <t>Numero Cuenta</t>
  </si>
  <si>
    <t xml:space="preserve">Nombre Cuenta </t>
  </si>
  <si>
    <t>Valores Acumulados</t>
  </si>
  <si>
    <t>Saldos</t>
  </si>
  <si>
    <t>Inventario</t>
  </si>
  <si>
    <t>Resultados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</si>
  <si>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</si>
  <si>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</si>
  <si>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</si>
  <si>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</si>
  <si>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</si>
  <si>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</si>
  <si>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</si>
  <si>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</si>
  <si>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FONDO FIJO LOS DOMINICOS</t>
  </si>
  <si>
    <t>FONDO FIJO MAIPU</t>
  </si>
  <si>
    <t>FONDO FIJO PLAZA EGAÑA</t>
  </si>
  <si>
    <t>FONDO FIJO VESPUCIO</t>
  </si>
  <si>
    <t>FONDO FIJO TREBOL</t>
  </si>
  <si>
    <t>FONDO FIJO COSTANERA CENTER</t>
  </si>
  <si>
    <t>FONDO FIJO FLORIDA CENTER</t>
  </si>
  <si>
    <t>FONDO FIJO SANTIAGO CENTRO</t>
  </si>
  <si>
    <t>FONDO FIJO CONCEPCION CENTRO</t>
  </si>
  <si>
    <t>BANCOS CTA CTE $</t>
  </si>
  <si>
    <t>BANCOS CTA CTE US$</t>
  </si>
  <si>
    <t>DEPOSITO A PLAZO CORREDORA</t>
  </si>
  <si>
    <t>GASTOS PAGADOS POR ANTICIPADO</t>
  </si>
  <si>
    <t>CLIENTES NACIONALES</t>
  </si>
  <si>
    <t>CLIENTES BOLETAS</t>
  </si>
  <si>
    <t>FONDOS POR RENDIR</t>
  </si>
  <si>
    <t>TRANSBANK POR COBRAR TC</t>
  </si>
  <si>
    <t>TRANSBANK POR COBRAR TD</t>
  </si>
  <si>
    <t>CLIENTES NACIONALES2</t>
  </si>
  <si>
    <t>ANTICIPOS SUELDOS</t>
  </si>
  <si>
    <t>ANTICIPO PROVEEDORES</t>
  </si>
  <si>
    <t>ANTICIPO HONORARIOS</t>
  </si>
  <si>
    <t>ANTICIPO AGENCIA DE ADUANAS</t>
  </si>
  <si>
    <t>MERCADERIA EN TRANSITO USD</t>
  </si>
  <si>
    <t>IVA CREDITO FISCAL (COMPRAS)</t>
  </si>
  <si>
    <t>REMANENTE IVA CREDITO FISCAL</t>
  </si>
  <si>
    <t>GARANTIAS DE ARRIENDO</t>
  </si>
  <si>
    <t>DEPRECIACION ACUMULADA MUEBLES Y UTILES</t>
  </si>
  <si>
    <t>DEPRECIACION ACUMULADA EQUIPOS COMPUTACIONALES</t>
  </si>
  <si>
    <t>PRESTAMOS NO BANCARIOS MONTO A PAGAR U$S</t>
  </si>
  <si>
    <t>TARJETA CREDITO CLP</t>
  </si>
  <si>
    <t>PROVEEDORES US$</t>
  </si>
  <si>
    <t>PROVEEDORES $</t>
  </si>
  <si>
    <t>HONORARIOS POR PAGAR</t>
  </si>
  <si>
    <t>PREVIRED POR PAGAR</t>
  </si>
  <si>
    <t>ACREEDORES VARIOS</t>
  </si>
  <si>
    <t>IMPUESTO ÚNICO TRABAJADORES</t>
  </si>
  <si>
    <t>RETENCION DE HONORARIOS</t>
  </si>
  <si>
    <t>IVA DEBITO FISCAL (VENTAS)</t>
  </si>
  <si>
    <t>IMPUESTO POR PAGAR FORM. 29</t>
  </si>
  <si>
    <t>SUELDOS POR PAGAR</t>
  </si>
  <si>
    <t>CAPITAL</t>
  </si>
  <si>
    <t>RESULTADOS ACUMULADOS</t>
  </si>
  <si>
    <t>VENTAS CON BOLETA</t>
  </si>
  <si>
    <t>VENTAS CON BOLETA (RPA)</t>
  </si>
  <si>
    <t>VENTAS CON FACTURA (RPA)</t>
  </si>
  <si>
    <t>COSTO DE VENTAS</t>
  </si>
  <si>
    <t>COSTOS OPERATIVOS - FLETES INTERNOS</t>
  </si>
  <si>
    <t>CANAL DIGITAL</t>
  </si>
  <si>
    <t>REMUNERACIONES</t>
  </si>
  <si>
    <t>SEGURO DE CESANTIA</t>
  </si>
  <si>
    <t>GRATIFICACION</t>
  </si>
  <si>
    <t>FINIQUITOS</t>
  </si>
  <si>
    <t>ASIGNACION COLACION</t>
  </si>
  <si>
    <t>ASIGNACION MOVILIZACION</t>
  </si>
  <si>
    <t>MUTUAL DE SEGURIDAD</t>
  </si>
  <si>
    <t>SEGURO INVALIDEZ (AFP)</t>
  </si>
  <si>
    <t>HORAS EXTRAS</t>
  </si>
  <si>
    <t>VACACIONES</t>
  </si>
  <si>
    <t>SEMANA CORRIDA</t>
  </si>
  <si>
    <t>COMISION POR VENTA</t>
  </si>
  <si>
    <t>REMUNERACIONES EXTERNAS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</si>
  <si>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</si>
  <si>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</si>
  <si>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</si>
  <si>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</si>
  <si>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</si>
  <si>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</si>
  <si>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</si>
  <si>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</si>
  <si>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</si>
  <si>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</si>
  <si>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HONORARIOS ADMINISTRACIÓN DE PERSONAL</t>
  </si>
  <si>
    <t>PATENTE COMERCIAL</t>
  </si>
  <si>
    <t>DEPRECIACION DEL EJERCICIO</t>
  </si>
  <si>
    <t>SUMINISTROS COMPUTACIONALES</t>
  </si>
  <si>
    <t>GASTOS LEGALES Y NOTARIALES DIRECTOS</t>
  </si>
  <si>
    <t>VIATICOS VISUAL MERCHANDISE</t>
  </si>
  <si>
    <t>COMISIONES TRANSBANK</t>
  </si>
  <si>
    <t>GASTOS DE PASAJES,ESTADIA Y TRASLADO NACIONAL</t>
  </si>
  <si>
    <t>GASTOS DE REPRESENTACION</t>
  </si>
  <si>
    <t>AJUSTE SENCILLO LEY DE REDONDEO</t>
  </si>
  <si>
    <t>INTERES GANADO POR DEPOSITO A PLAZO PESOS</t>
  </si>
  <si>
    <t>INTERESES POR PRESTAMO EN EERR</t>
  </si>
  <si>
    <t>DIF_CAM__EFECTIVO Y EQUIVALENTES AL EFECTIVO</t>
  </si>
  <si>
    <t>DIF_CAM__INVENTARIOS</t>
  </si>
  <si>
    <t>DIF_CAM__OTROS PASIVOS FINANCIEROS</t>
  </si>
  <si>
    <t>DIF_CAM__CUENTAS POR PAGAR COMERCIALES Y OTRAS CUENTAS POR P</t>
  </si>
  <si>
    <t>DIFERENCIA DE CAMBIO</t>
  </si>
  <si>
    <t>CORRECCION MONETARIA ACTIVOS</t>
  </si>
  <si>
    <t>AJUSTE REDONDEO AUTO</t>
  </si>
  <si>
    <t>Total Acumulado</t>
  </si>
  <si>
    <t>Resultado del ejercicio</t>
  </si>
  <si>
    <t>Sumas Iguales</t>
  </si>
  <si>
    <t>RSM CHILE CONTABILIDAD Y PROCESOS LIMITADA</t>
  </si>
  <si>
    <t>Օ Sin Documento</t>
  </si>
  <si>
    <r>
      <rPr>
        <sz val="12"/>
        <color rgb="FFFF0000"/>
        <rFont val="Calibri"/>
        <family val="2"/>
      </rPr>
      <t>Ø</t>
    </r>
    <r>
      <rPr>
        <sz val="12"/>
        <color rgb="FFFF0000"/>
        <rFont val="Tahoma"/>
        <family val="2"/>
      </rPr>
      <t xml:space="preserve"> Documentado</t>
    </r>
  </si>
  <si>
    <t>Fecha Recepcion</t>
  </si>
  <si>
    <t>77716312-4</t>
  </si>
  <si>
    <t>Fecha Acuse</t>
  </si>
  <si>
    <t>Codigo IVA No Rec.</t>
  </si>
  <si>
    <t>Monto Neto Activo Fijo</t>
  </si>
  <si>
    <t>IVA Activo Fijo</t>
  </si>
  <si>
    <t>IVA uso Comun</t>
  </si>
  <si>
    <t>Impto. Sin Derecho a Credito</t>
  </si>
  <si>
    <t>IVA No Retenido</t>
  </si>
  <si>
    <t>Tabacos Puros</t>
  </si>
  <si>
    <t>Tabacos Cigarrillos</t>
  </si>
  <si>
    <t>Tabacos Elaborados</t>
  </si>
  <si>
    <t>NCE o NDE sobre Fact. de Compra</t>
  </si>
  <si>
    <t>Codigo Otro Impuesto</t>
  </si>
  <si>
    <t>Valor Otro Impuesto</t>
  </si>
  <si>
    <t>Tasa Otro Impuesto</t>
  </si>
  <si>
    <t>FACTURA DE GASTOS</t>
  </si>
  <si>
    <t>NOTA DE CREDITO</t>
  </si>
  <si>
    <t>Planilla Unificada</t>
  </si>
  <si>
    <t xml:space="preserve">Tipo Factura Recibida </t>
  </si>
  <si>
    <t>Cant.Reg</t>
  </si>
  <si>
    <t>Exento</t>
  </si>
  <si>
    <t>Neto</t>
  </si>
  <si>
    <t>I.V.A.</t>
  </si>
  <si>
    <t>Otros Imp.</t>
  </si>
  <si>
    <t>I.V.A. No Rec</t>
  </si>
  <si>
    <t>Total</t>
  </si>
  <si>
    <t>Total Ventas</t>
  </si>
  <si>
    <t>Factura de Compra Electronica Exenta</t>
  </si>
  <si>
    <t>Factura de compras Electrónica afectas</t>
  </si>
  <si>
    <t>Nota Credito Compra Electronica Afecta</t>
  </si>
  <si>
    <t>Nota de Debito de Compra ELECTRONICA</t>
  </si>
  <si>
    <t>Total Resumen :</t>
  </si>
  <si>
    <t>NOTA DE DEBITO</t>
  </si>
  <si>
    <t>DIFERENCIA</t>
  </si>
  <si>
    <t>FACTURA ELECTRONICA EXENTA</t>
  </si>
  <si>
    <t>RUTA DE CARGA MASIVA DE COMPRAS</t>
  </si>
  <si>
    <t>RUT</t>
  </si>
  <si>
    <t>GASTOS BANCARIOS CLP</t>
  </si>
  <si>
    <t>MAGNUS</t>
  </si>
  <si>
    <t>Fecha _x000D_
Documento</t>
  </si>
  <si>
    <t>Fecha_x000D_
Contab</t>
  </si>
  <si>
    <t>Correlativo_x000D_
Interno</t>
  </si>
  <si>
    <t>Tipo Factura_x000D_
Recibida</t>
  </si>
  <si>
    <t>Nro_x000D_
Factura</t>
  </si>
  <si>
    <t>R.U.T.</t>
  </si>
  <si>
    <t>I.V.A Adicional</t>
  </si>
  <si>
    <t>I.V.A No Rec</t>
  </si>
  <si>
    <t>Libro de Compras</t>
  </si>
  <si>
    <t>77190393-2</t>
  </si>
  <si>
    <t>EASY POINT LOGISTICS SPA</t>
  </si>
  <si>
    <t>96631520-2</t>
  </si>
  <si>
    <t>FastAir Almacenes de Carga S.A.</t>
  </si>
  <si>
    <t>76320613-0</t>
  </si>
  <si>
    <t>TIBA CHILE SPA</t>
  </si>
  <si>
    <t>97023000-9</t>
  </si>
  <si>
    <t>Banco ItaÃº Chile</t>
  </si>
  <si>
    <t>94058000-5</t>
  </si>
  <si>
    <t>SERVICIOS AEROPORTUARIOS AEROSAN SA</t>
  </si>
  <si>
    <t>78953470-5</t>
  </si>
  <si>
    <t>United Parcel Service de Chile Limitada</t>
  </si>
  <si>
    <t>5391000-9</t>
  </si>
  <si>
    <t>MARINA PATRICIA MOYA VARAS</t>
  </si>
  <si>
    <t>6554967-0</t>
  </si>
  <si>
    <t>MARIO HUMBERTO ARANEDA MEZA</t>
  </si>
  <si>
    <t>76162740-6</t>
  </si>
  <si>
    <t>RITTAL LIMITADA</t>
  </si>
  <si>
    <t>77450082-0</t>
  </si>
  <si>
    <t>GRUPO MONTECARLO SPA</t>
  </si>
  <si>
    <t>60805000-0</t>
  </si>
  <si>
    <t>TESORERIA GENREAL DE LA REPLUBLICA</t>
  </si>
  <si>
    <t>HONORARIOS PROFESIONALES CLP</t>
  </si>
  <si>
    <t>MATERIALES CLP</t>
  </si>
  <si>
    <t>OTROS ARRIENDOS CLP</t>
  </si>
  <si>
    <t>OTROS GASTOS VENTA CLP</t>
  </si>
  <si>
    <t>-</t>
  </si>
  <si>
    <t>Declaracion de Ingreso (Importacion)</t>
  </si>
  <si>
    <t>TGR TESORERIA GENERAL DE LA REPUBLICA</t>
  </si>
  <si>
    <t>BANCO ITAÚ CHILE</t>
  </si>
  <si>
    <t>76696743-4</t>
  </si>
  <si>
    <t>Synixtor Chile Spa</t>
  </si>
  <si>
    <t>76880514-8</t>
  </si>
  <si>
    <t>VDA Services SpA</t>
  </si>
  <si>
    <t>96841630-8</t>
  </si>
  <si>
    <t>KOLFF S.P.A</t>
  </si>
  <si>
    <t>KOLFF SPA</t>
  </si>
  <si>
    <t>76505403-6</t>
  </si>
  <si>
    <t>SOCIEDAD HOTELERA FRANCO CHILENA LTDA.</t>
  </si>
  <si>
    <t>78131420-K</t>
  </si>
  <si>
    <t>INGENIERIA DESIMAT LIMITADA</t>
  </si>
  <si>
    <t>86966100-7</t>
  </si>
  <si>
    <t>DHL EXPRESS (CHILE) LIMITADA</t>
  </si>
  <si>
    <t>76754296-8</t>
  </si>
  <si>
    <t>FEDEX EXPRESS CHILE SPA</t>
  </si>
  <si>
    <t>76567200-7</t>
  </si>
  <si>
    <t>TECNOLOGIA LK SPA</t>
  </si>
  <si>
    <t>99147000-K</t>
  </si>
  <si>
    <t>BCI SEGUROS GENERALES S.A.</t>
  </si>
  <si>
    <t>76372981-8</t>
  </si>
  <si>
    <t>VIONIX INGENIERÃA LIMITADA</t>
  </si>
  <si>
    <t>81201000-K</t>
  </si>
  <si>
    <t>CENCOSUD RETAIL S.A.</t>
  </si>
  <si>
    <t>86808500-2</t>
  </si>
  <si>
    <t>Interlog Electronica Ltda.</t>
  </si>
  <si>
    <t>78885550-8</t>
  </si>
  <si>
    <t>PERSONAL COMPUTER FACTORY S.A.</t>
  </si>
  <si>
    <t>96851800-3</t>
  </si>
  <si>
    <t>Asesores en Viaje S.A.</t>
  </si>
  <si>
    <t>83628100-4</t>
  </si>
  <si>
    <t>SONDA S.A.</t>
  </si>
  <si>
    <t>76079405-8</t>
  </si>
  <si>
    <t>PESCO CAPACITACIONES LIMITADA</t>
  </si>
  <si>
    <t xml:space="preserve"> Capacitacion de primeros auxilios , RCP, manejo del trauma</t>
  </si>
  <si>
    <t>Servicios de Viaje y/o turismo. Referencia:; EXPEDIENTE: 3002-23005155;  SALIDA: 25.11.2023
 RUTA: EZE-SCL-EZE
 PASAJERO: PINTO,GABRIEL ALEJANDRO(IDAAC273778);  Nro. TKT: 30537549184
 VALOR TKT VIA LA; SERVICIO DE AGENCIA: $ ; Servicios de Viaje y/o turismo. Referencia:; Servicios afectos incluidos en el detalle de servicios</t>
  </si>
  <si>
    <t>Servicios de Viaje y/o turismo. Referencia:; EXPEDIENTE: 3002-23005156
 -
 SALIDA: 02.12.2023
 RUTA: SCL-AEP
 PASAJERO: FERNANDEZ SUAREZ,LEOPOLDO
 Nro. TKT: 30537549195
 VALOR TKT VIA H2: $ 217.485
 SERVICIO DE AGENCIA: $ 21.301; Servicios de Viaje y/o turismo. Referencia:; Servicios afectos incluidos en el detalle de servicios</t>
  </si>
  <si>
    <t>CARGA COMBUSTIBLE</t>
  </si>
  <si>
    <t>Facturación por 60% final del Negocio; US5 231927.04 T/C 874.47 al 29-11-2023</t>
  </si>
  <si>
    <t xml:space="preserve">Servicios de contabilidad USD 200 a T/C 869.56; Cumplimiento tributario USD 200 a T/C 869.56; Otros servicios BPO USD 500 a T/C 869.56; </t>
  </si>
  <si>
    <t>GESTION DE IMPORTACION
SHIP031</t>
  </si>
  <si>
    <t>DECLARACION DE IMPORTACION 
 MANEJO</t>
  </si>
  <si>
    <t>GESTION DE IMPORTACION
REF.365/2023</t>
  </si>
  <si>
    <t>RACK TS IT 19" 42U 600x1000 PUERTA MICROPERF RAL 7035 5508110 ; RITTAL; PANEL LATERAL TS 2000x1000 2 PZA RAL 7035 8100235 RITTAL; BOTON PULSADOR SZ P/CILINDRO MEDIO 2468000 RITTAL; ZOCALO VX FRONTAL/TRASERO 100x800 2 PZA RAL 7035 8640003 ; RITTAL;  ZOCALO VX LATERAL 100x1000 2 PZA RAL 7035 8640035 RITTAL; CHAPA ENTRADA DE CABLES TS IT 600x1000 5502540 RITTAL; CANCAMOS DE TRANSPORTE 4 PZA RAL 7035 4568000 RITTAL;  FIJACION INFERIOR TS IT RAL 7035 5501320 RITTAL; TERMOSTATO 5-55° 230V/24V 3110000 RITTAL; LUMINARIA LED 600 SZ 7W 4000K S/ENCHUFE 100-240V 2500110 RITTAL;  INTERRUPTOR PUERTA SZ CABLE CONEXION 800mm 2500460 RITTAL; CABLE CONEXION ILUMINACION LED 5 PZA 2500420 RITTAL ; PLACA VX GUIA DE CABLES 145x2000 RAL 9005 5302120 RITTAL ; PORTAPLANO PLASTICO A4 2514000 RITTAL; TUERCA ENJAULADA M6 50UN. RITTAL 2092200; TORNILLO ESTRELLA M6x16mm C/GOLILLA PLASTICA 50UN. 7094100; RITTAL; TORNILLO CHAPA CILINDRICO M5.5x13 300UN. RITTAL 2486600</t>
  </si>
  <si>
    <t>TABLERO AUTOSOPORTADO 800x1000x2000mm FASE 3</t>
  </si>
  <si>
    <t xml:space="preserve">TABLERO VX 2000x800x1000 PUERTA MICROPERF RAL 7035 5309116 ; RITTAL; LATERALES VX 25 2000x1000 2 PZA RAL 7035 8100245 RITTAL; BOTON PULSADOR SZ P/CILINDRO MEDIO 2468000 RITTAL; ZOCALO VX LATERAL 100x1000 2 PZA RAL 7035 8640035 RITTAL; ZOCALO VX FRONTAL/TRASERO 100x800 2 PZA RAL 7035 8640003; RITTAL; CHAPA MODULAR DE SUELO VX IT CON ESCOBILLA RAL 7035 5301333 ; RITTAL; CHAPAS ENTRADA DE CABLES VX IT 800x1000 4 PZA RAL 7035 5301344 ; RITTAL; CANCAMOS DE TRANSPORTE 4 PZA RAL 7035 4568000 RITTAL; PLETINA FIJACION SUELO SO 10 PZA 2817000 RITTALMODULO VENTILADOR SK 100-240V 0,7A 5503020 RITTAL; JUEGO AMPLIACION DE VENTILADORES SK 7990000 RITTAL; TERMOSTATO 5-55° 230V/24V 3110000 RITTAL; ADAPTADOR FIJACION DK P/REGULADOR 7526964 RITTAL; LUMINARIA LED 600 SZ 7W 4000K S/ENCHUFE 100-240V 2500110 RITTAL; INTERRUPTOR PUERTA SZ CABLE CONEXION 800mm 2500460 RITTAL ; INTERRUPTOR PUERTA SZ CON CABLE CONEXION 3000mm 4315810 RITTAL; PLACA VX GUIA DE CABLES 145x2000 RAL 9005 5302120 RITTAL; PORTAPLANO PLASTICO A4 2514000 RITTAL; CHASIS EXTERIOR VX 18x64 1000mm 4PZA 8617050 RITTAL; CHASIS INTERIOR VX 23x64 800mm 4PZA 8617140 RITTAL; TUERCA ENJAULADA M6 50UN. RITTAL 2092200 </t>
  </si>
  <si>
    <t xml:space="preserve"> GUIA DESLIZANTE VARIABLE EN PROF VX IT TE TX 2 PZA 5302035 RITTAL </t>
  </si>
  <si>
    <t>GASTOS DE HOSPEDAJE Y VIAJES DE APOYO VENTA CLP</t>
  </si>
  <si>
    <t>SEGUROS CLP</t>
  </si>
  <si>
    <t>SERVICIO DE SOPORTE DE SISTEMAS CLP</t>
  </si>
  <si>
    <t>GASTOS DE CAPACITACION - ADM CLP</t>
  </si>
  <si>
    <t>Empresa :PROYESCO CHILE SPA / Periodo : 01/12/23 al 31/12/23</t>
  </si>
  <si>
    <t>SONDA S.A</t>
  </si>
  <si>
    <t>81201000K</t>
  </si>
  <si>
    <t>UNITED PARCEL SERVICE DE CHILE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</si>
</sst>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\ _€_-;\-* #,##0\ _€_-;_-* &quot;-&quot;??\ _€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 "/>
    </font>
    <font>
      <sz val="8.25"/>
      <color rgb="FF000000"/>
      <name val="Tahoma"/>
      <family val="2"/>
    </font>
    <font>
      <sz val="10"/>
      <name val="Book Antiqua"/>
      <family val="1"/>
    </font>
    <font>
      <b/>
      <sz val="10"/>
      <name val="Book Antiqua"/>
      <family val="1"/>
    </font>
    <font>
      <sz val="10"/>
      <name val="Times New Roman"/>
      <family val="1"/>
    </font>
    <font>
      <sz val="11"/>
      <name val="Book Antiqua"/>
      <family val="1"/>
    </font>
    <font>
      <b/>
      <sz val="11"/>
      <name val="Book Antiqua"/>
      <family val="1"/>
    </font>
    <font>
      <sz val="10"/>
      <color rgb="FFFF0000"/>
      <name val="Tahoma"/>
      <family val="2"/>
    </font>
    <font>
      <sz val="10"/>
      <color theme="8" tint="-0.249977111117893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Tahoma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8" tint="-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0F0F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 applyAlignment="1">
      <alignment horizontal="center" wrapText="1"/>
    </xf>
    <xf numFmtId="0" fontId="5" fillId="3" borderId="3" xfId="0" applyFont="1" applyFill="1" applyBorder="1"/>
    <xf numFmtId="0" fontId="0" fillId="0" borderId="2" xfId="0" applyBorder="1"/>
    <xf numFmtId="0" fontId="0" fillId="4" borderId="2" xfId="0" applyFill="1" applyBorder="1"/>
    <xf numFmtId="0" fontId="6" fillId="0" borderId="0" xfId="0" applyFont="1"/>
    <xf numFmtId="49" fontId="0" fillId="4" borderId="2" xfId="0" applyNumberFormat="1" applyFill="1" applyBorder="1"/>
    <xf numFmtId="14" fontId="0" fillId="0" borderId="2" xfId="0" applyNumberFormat="1" applyBorder="1"/>
    <xf numFmtId="49" fontId="7" fillId="5" borderId="4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41" fontId="8" fillId="2" borderId="0" xfId="2" applyFont="1" applyFill="1"/>
    <xf numFmtId="41" fontId="9" fillId="6" borderId="2" xfId="2" applyFont="1" applyFill="1" applyBorder="1" applyAlignment="1">
      <alignment horizontal="center"/>
    </xf>
    <xf numFmtId="0" fontId="11" fillId="2" borderId="2" xfId="0" applyFont="1" applyFill="1" applyBorder="1"/>
    <xf numFmtId="41" fontId="11" fillId="2" borderId="2" xfId="2" applyFont="1" applyFill="1" applyBorder="1"/>
    <xf numFmtId="41" fontId="11" fillId="2" borderId="0" xfId="2" applyFont="1" applyFill="1"/>
    <xf numFmtId="0" fontId="12" fillId="2" borderId="6" xfId="0" applyFont="1" applyFill="1" applyBorder="1"/>
    <xf numFmtId="0" fontId="12" fillId="2" borderId="9" xfId="0" applyFont="1" applyFill="1" applyBorder="1"/>
    <xf numFmtId="41" fontId="12" fillId="2" borderId="2" xfId="2" applyFont="1" applyFill="1" applyBorder="1"/>
    <xf numFmtId="41" fontId="12" fillId="2" borderId="7" xfId="2" applyFont="1" applyFill="1" applyBorder="1"/>
    <xf numFmtId="41" fontId="12" fillId="2" borderId="0" xfId="2" applyFont="1" applyFill="1"/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2" fillId="0" borderId="0" xfId="0" applyFont="1"/>
    <xf numFmtId="0" fontId="4" fillId="0" borderId="2" xfId="0" applyFont="1" applyBorder="1" applyAlignment="1">
      <alignment horizontal="center" vertical="center"/>
    </xf>
    <xf numFmtId="0" fontId="5" fillId="7" borderId="7" xfId="0" applyFont="1" applyFill="1" applyBorder="1"/>
    <xf numFmtId="0" fontId="5" fillId="7" borderId="2" xfId="0" applyFont="1" applyFill="1" applyBorder="1"/>
    <xf numFmtId="41" fontId="13" fillId="2" borderId="0" xfId="2" applyFont="1" applyFill="1"/>
    <xf numFmtId="0" fontId="14" fillId="2" borderId="0" xfId="0" applyFont="1" applyFill="1"/>
    <xf numFmtId="3" fontId="15" fillId="0" borderId="2" xfId="1" applyNumberFormat="1" applyFont="1" applyFill="1" applyBorder="1"/>
    <xf numFmtId="0" fontId="14" fillId="2" borderId="2" xfId="0" applyFont="1" applyFill="1" applyBorder="1"/>
    <xf numFmtId="14" fontId="0" fillId="0" borderId="0" xfId="0" applyNumberFormat="1"/>
    <xf numFmtId="22" fontId="0" fillId="0" borderId="0" xfId="0" applyNumberFormat="1"/>
    <xf numFmtId="0" fontId="0" fillId="8" borderId="0" xfId="0" applyFill="1"/>
    <xf numFmtId="3" fontId="15" fillId="0" borderId="0" xfId="1" applyNumberFormat="1" applyFont="1" applyFill="1" applyBorder="1"/>
    <xf numFmtId="0" fontId="18" fillId="0" borderId="0" xfId="0" applyFont="1"/>
    <xf numFmtId="0" fontId="20" fillId="10" borderId="0" xfId="0" applyFont="1" applyFill="1"/>
    <xf numFmtId="3" fontId="0" fillId="0" borderId="0" xfId="0" applyNumberFormat="1"/>
    <xf numFmtId="3" fontId="3" fillId="0" borderId="0" xfId="0" applyNumberFormat="1" applyFont="1"/>
    <xf numFmtId="42" fontId="0" fillId="0" borderId="0" xfId="0" applyNumberFormat="1"/>
    <xf numFmtId="42" fontId="3" fillId="0" borderId="0" xfId="4" applyFont="1"/>
    <xf numFmtId="42" fontId="0" fillId="0" borderId="0" xfId="4" applyFont="1"/>
    <xf numFmtId="0" fontId="21" fillId="10" borderId="0" xfId="0" applyFont="1" applyFill="1"/>
    <xf numFmtId="3" fontId="0" fillId="8" borderId="0" xfId="0" applyNumberFormat="1" applyFill="1"/>
    <xf numFmtId="0" fontId="0" fillId="9" borderId="2" xfId="0" applyFill="1" applyBorder="1"/>
    <xf numFmtId="0" fontId="22" fillId="2" borderId="0" xfId="0" applyFont="1" applyFill="1"/>
    <xf numFmtId="0" fontId="15" fillId="0" borderId="0" xfId="0" applyFont="1"/>
    <xf numFmtId="42" fontId="3" fillId="0" borderId="0" xfId="4" applyFont="1" applyFill="1"/>
    <xf numFmtId="42" fontId="3" fillId="0" borderId="0" xfId="0" applyNumberFormat="1" applyFont="1"/>
    <xf numFmtId="0" fontId="0" fillId="7" borderId="0" xfId="0" applyFill="1"/>
    <xf numFmtId="0" fontId="3" fillId="0" borderId="1" xfId="0" applyFont="1" applyBorder="1" applyAlignment="1">
      <alignment horizontal="center" wrapText="1"/>
    </xf>
    <xf numFmtId="0" fontId="5" fillId="0" borderId="7" xfId="0" applyFont="1" applyBorder="1"/>
    <xf numFmtId="0" fontId="5" fillId="0" borderId="2" xfId="0" applyFont="1" applyBorder="1"/>
    <xf numFmtId="0" fontId="0" fillId="0" borderId="0" xfId="0" applyAlignment="1">
      <alignment wrapText="1"/>
    </xf>
    <xf numFmtId="0" fontId="0" fillId="0" borderId="2" xfId="0" applyFill="1" applyBorder="1"/>
    <xf numFmtId="49" fontId="7" fillId="0" borderId="4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7" xfId="0" applyFont="1" applyFill="1" applyBorder="1"/>
    <xf numFmtId="0" fontId="5" fillId="0" borderId="2" xfId="0" applyFont="1" applyFill="1" applyBorder="1"/>
    <xf numFmtId="0" fontId="0" fillId="0" borderId="2" xfId="0" applyBorder="1" applyAlignment="1"/>
    <xf numFmtId="0" fontId="4" fillId="7" borderId="2" xfId="0" applyFont="1" applyFill="1" applyBorder="1"/>
    <xf numFmtId="0" fontId="4" fillId="0" borderId="2" xfId="0" applyFont="1" applyFill="1" applyBorder="1"/>
    <xf numFmtId="14" fontId="4" fillId="0" borderId="2" xfId="0" applyNumberFormat="1" applyFont="1" applyFill="1" applyBorder="1"/>
    <xf numFmtId="0" fontId="4" fillId="0" borderId="2" xfId="0" applyFont="1" applyFill="1" applyBorder="1" applyAlignment="1"/>
    <xf numFmtId="0" fontId="4" fillId="0" borderId="7" xfId="0" applyFont="1" applyFill="1" applyBorder="1"/>
    <xf numFmtId="0" fontId="4" fillId="9" borderId="2" xfId="0" applyFont="1" applyFill="1" applyBorder="1"/>
    <xf numFmtId="0" fontId="20" fillId="10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5" fontId="9" fillId="6" borderId="5" xfId="3" applyNumberFormat="1" applyFont="1" applyFill="1" applyBorder="1" applyAlignment="1">
      <alignment horizontal="center" vertical="center" wrapText="1"/>
    </xf>
    <xf numFmtId="165" fontId="9" fillId="6" borderId="8" xfId="3" applyNumberFormat="1" applyFont="1" applyFill="1" applyBorder="1" applyAlignment="1">
      <alignment horizontal="center" vertical="center" wrapText="1"/>
    </xf>
    <xf numFmtId="165" fontId="9" fillId="6" borderId="5" xfId="3" applyNumberFormat="1" applyFont="1" applyFill="1" applyBorder="1" applyAlignment="1">
      <alignment horizontal="center" vertical="center"/>
    </xf>
    <xf numFmtId="165" fontId="9" fillId="6" borderId="8" xfId="3" applyNumberFormat="1" applyFont="1" applyFill="1" applyBorder="1" applyAlignment="1">
      <alignment horizontal="center" vertical="center"/>
    </xf>
    <xf numFmtId="41" fontId="9" fillId="6" borderId="6" xfId="2" applyFont="1" applyFill="1" applyBorder="1" applyAlignment="1">
      <alignment horizontal="center"/>
    </xf>
    <xf numFmtId="41" fontId="9" fillId="6" borderId="7" xfId="2" applyFont="1" applyFill="1" applyBorder="1" applyAlignment="1">
      <alignment horizontal="center"/>
    </xf>
  </cellXfs>
  <cellStyles count="9">
    <cellStyle name="Millares" xfId="1" builtinId="3"/>
    <cellStyle name="Millares [0]" xfId="2" builtinId="6"/>
    <cellStyle name="Millares [0] 2" xfId="6" xr:uid="{F88088C5-465F-4833-9BA9-E6D8D6FD9AC2}"/>
    <cellStyle name="Millares 2" xfId="3" xr:uid="{8069CBBF-804A-4162-B664-F0EF077DEE14}"/>
    <cellStyle name="Millares 2 2" xfId="7" xr:uid="{AAEFF081-9001-49FD-90B9-956B3625009A}"/>
    <cellStyle name="Millares 3" xfId="5" xr:uid="{AD7AAEF0-6AA5-4020-9C0A-9C3B9DDA635D}"/>
    <cellStyle name="Moneda [0]" xfId="4" builtinId="7"/>
    <cellStyle name="Moneda [0] 2" xfId="8" xr:uid="{4C43A298-CACA-49EC-BFE0-5EABB14C631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178593</xdr:colOff>
      <xdr:row>0</xdr:row>
      <xdr:rowOff>47625</xdr:rowOff>
    </xdr:from>
    <xdr:to>
      <xdr:col>24</xdr:col>
      <xdr:colOff>129831</xdr:colOff>
      <xdr:row>31</xdr:row>
      <xdr:rowOff>92124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0B65EF-E546-700A-750D-2A65DB89D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70406" y="47625"/>
          <a:ext cx="9095238" cy="59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95250</xdr:rowOff>
    </xdr:from>
    <xdr:to>
      <xdr:col>12</xdr:col>
      <xdr:colOff>241520</xdr:colOff>
      <xdr:row>47</xdr:row>
      <xdr:rowOff>75726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CDA1CE-3391-61A1-C7F0-C791D458C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50656"/>
          <a:ext cx="10933333" cy="37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205327</xdr:colOff>
      <xdr:row>0</xdr:row>
      <xdr:rowOff>16399</xdr:rowOff>
    </xdr:from>
    <xdr:to>
      <xdr:col>1</xdr:col>
      <xdr:colOff>607534</xdr:colOff>
      <xdr:row>5</xdr:row>
      <xdr:rowOff>33592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BC398D-AA92-4372-BAD4-4DD1F474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27" y="16399"/>
          <a:ext cx="1164207" cy="96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81572</xdr:colOff>
      <xdr:row>0</xdr:row>
      <xdr:rowOff>0</xdr:rowOff>
    </xdr:from>
    <xdr:to>
      <xdr:col>9</xdr:col>
      <xdr:colOff>1091636</xdr:colOff>
      <xdr:row>5</xdr:row>
      <xdr:rowOff>157269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F546C5-E192-4372-B1A6-073C396F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8422" y="0"/>
          <a:ext cx="1010064" cy="1109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4459-42BA-43C5-B139-4A6DAE81186E}">
  <sheetPr>
    <tabColor rgb="FF002060"/>
  </sheetPr>
  <dimension ref="A1:L26"/>
  <sheetViews>
    <sheetView zoomScale="80" zoomScaleNormal="80" workbookViewId="0">
      <selection activeCell="D31" sqref="D31"/>
    </sheetView>
  </sheetViews>
  <sheetFormatPr baseColWidth="10" defaultRowHeight="15"/>
  <cols>
    <col min="3" max="3" width="13" bestFit="1" customWidth="1"/>
    <col min="4" max="4" width="14.28515625" customWidth="1"/>
    <col min="5" max="5" width="13.42578125" customWidth="1"/>
    <col min="6" max="6" width="12.7109375" bestFit="1" customWidth="1"/>
    <col min="7" max="7" width="14.140625" bestFit="1" customWidth="1"/>
    <col min="8" max="8" width="13.7109375" customWidth="1"/>
    <col min="9" max="9" width="13.85546875" customWidth="1"/>
    <col min="10" max="12" width="14.140625" bestFit="1" customWidth="1"/>
  </cols>
  <sheetData>
    <row r="1" spans="1:12">
      <c r="A1" s="68" t="s">
        <v>182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5.75" customHeight="1">
      <c r="A2" s="38" t="s">
        <v>183</v>
      </c>
      <c r="B2" s="38"/>
      <c r="C2" s="38"/>
      <c r="D2" s="38"/>
      <c r="E2" s="38" t="s">
        <v>184</v>
      </c>
      <c r="F2" s="38" t="s">
        <v>185</v>
      </c>
      <c r="G2" s="38" t="s">
        <v>186</v>
      </c>
      <c r="H2" s="38" t="s">
        <v>187</v>
      </c>
      <c r="I2" s="38" t="s">
        <v>188</v>
      </c>
      <c r="J2" s="38" t="s">
        <v>189</v>
      </c>
      <c r="K2" s="38" t="s">
        <v>190</v>
      </c>
      <c r="L2" s="38" t="s">
        <v>191</v>
      </c>
    </row>
    <row r="3" spans="1:12">
      <c r="A3">
        <v>34</v>
      </c>
      <c r="B3" t="s">
        <v>192</v>
      </c>
      <c r="E3">
        <f>COUNTIF('Planilla Compras unificada'!$B:$B,'Cuadratura 31.12.2023'!A3)</f>
        <v>5</v>
      </c>
      <c r="F3" s="39">
        <f>SUMIFS('Planilla Compras unificada'!$H:$H,'Planilla Compras unificada'!$B:$B,'Cuadratura 31.12.2023'!A3)</f>
        <v>1747472</v>
      </c>
      <c r="G3">
        <f>SUMIFS('Planilla Compras unificada'!$I:$I,'Planilla Compras unificada'!$B:$B,'Cuadratura 31.12.2023'!A3)</f>
        <v>0</v>
      </c>
      <c r="H3">
        <f>SUMIFS('Planilla Compras unificada'!$J:$J,'Planilla Compras unificada'!$B:$B,'Cuadratura 31.12.2023'!A3)</f>
        <v>0</v>
      </c>
      <c r="K3" s="42">
        <f t="shared" ref="K3:K6" si="0">SUM(F3:J3)</f>
        <v>1747472</v>
      </c>
    </row>
    <row r="4" spans="1:12">
      <c r="A4">
        <v>33</v>
      </c>
      <c r="B4" t="s">
        <v>193</v>
      </c>
      <c r="E4">
        <f>COUNTIF('Planilla Compras unificada'!$B:$B,'Cuadratura 31.12.2023'!A4)</f>
        <v>20</v>
      </c>
      <c r="F4" s="39">
        <f>SUMIFS('Planilla Compras unificada'!$H:$H,'Planilla Compras unificada'!$B:$B,'Cuadratura 31.12.2023'!A4)</f>
        <v>833245</v>
      </c>
      <c r="G4" s="39">
        <f>SUMIFS('Planilla Compras unificada'!$I:$I,'Planilla Compras unificada'!$B:$B,'Cuadratura 31.12.2023'!A4)</f>
        <v>222268066</v>
      </c>
      <c r="H4" s="39">
        <f>SUMIFS('Planilla Compras unificada'!$J:$J,'Planilla Compras unificada'!$B:$B,'Cuadratura 31.12.2023'!A4)</f>
        <v>42230931</v>
      </c>
      <c r="K4" s="42">
        <f t="shared" si="0"/>
        <v>265332242</v>
      </c>
      <c r="L4" s="39"/>
    </row>
    <row r="5" spans="1:12">
      <c r="A5">
        <v>61</v>
      </c>
      <c r="B5" t="s">
        <v>194</v>
      </c>
      <c r="E5" s="35">
        <f>COUNTIF('Planilla Compras unificada'!$B:$B,'Cuadratura 31.12.2023'!A5)</f>
        <v>0</v>
      </c>
      <c r="F5" s="45">
        <f>SUMIFS('Planilla Compras unificada'!$H:$H,'Planilla Compras unificada'!$B:$B,'Cuadratura 31.12.2023'!A5)</f>
        <v>0</v>
      </c>
      <c r="G5" s="45">
        <f>SUMIFS('Planilla Compras unificada'!$I:$I,'Planilla Compras unificada'!$B:$B,'Cuadratura 31.12.2023'!A5)</f>
        <v>0</v>
      </c>
      <c r="H5" s="45">
        <f>SUMIFS('Planilla Compras unificada'!$J:$J,'Planilla Compras unificada'!$B:$B,'Cuadratura 31.12.2023'!A5)</f>
        <v>0</v>
      </c>
      <c r="K5" s="49">
        <f>SUM(F5:J5)</f>
        <v>0</v>
      </c>
    </row>
    <row r="6" spans="1:12">
      <c r="A6">
        <v>56</v>
      </c>
      <c r="B6" t="s">
        <v>195</v>
      </c>
      <c r="E6" s="35">
        <f>COUNTIF('Planilla Compras unificada'!$B:$B,'Cuadratura 31.12.2023'!A6)</f>
        <v>0</v>
      </c>
      <c r="F6" s="35">
        <f>SUMIFS('Planilla Compras unificada'!$H:$H,'Planilla Compras unificada'!$B:$B,'Cuadratura 31.12.2023'!A6)</f>
        <v>0</v>
      </c>
      <c r="G6" s="45">
        <f>SUMIFS('Planilla Compras unificada'!$I:$I,'Planilla Compras unificada'!$B:$B,'Cuadratura 31.12.2023'!A6)</f>
        <v>0</v>
      </c>
      <c r="H6" s="45">
        <f>SUMIFS('Planilla Compras unificada'!$J:$J,'Planilla Compras unificada'!$B:$B,'Cuadratura 31.12.2023'!A6)</f>
        <v>0</v>
      </c>
      <c r="K6" s="42">
        <f t="shared" si="0"/>
        <v>0</v>
      </c>
    </row>
    <row r="7" spans="1:12">
      <c r="L7" s="40">
        <f>+K3+K4-K5+K6</f>
        <v>267079714</v>
      </c>
    </row>
    <row r="8" spans="1:12">
      <c r="A8" t="s">
        <v>196</v>
      </c>
      <c r="E8" s="40">
        <f>SUM(E3:E7)</f>
        <v>25</v>
      </c>
      <c r="F8" s="40">
        <f>+F3+F4-F5+F6</f>
        <v>2580717</v>
      </c>
      <c r="G8" s="40">
        <f t="shared" ref="G8:H8" si="1">+G3+G4-G5+G6</f>
        <v>222268066</v>
      </c>
      <c r="H8" s="40">
        <f t="shared" si="1"/>
        <v>42230931</v>
      </c>
    </row>
    <row r="9" spans="1:12">
      <c r="E9" s="40"/>
      <c r="F9" s="40"/>
      <c r="G9" s="40"/>
      <c r="H9" s="40"/>
      <c r="J9" s="50">
        <f>SUM(F8:I8)</f>
        <v>267079714</v>
      </c>
      <c r="K9" s="41"/>
      <c r="L9" s="41">
        <f>J9-L7</f>
        <v>0</v>
      </c>
    </row>
    <row r="11" spans="1:12">
      <c r="A11" s="68" t="s">
        <v>203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spans="1:12">
      <c r="A12" s="38" t="s">
        <v>183</v>
      </c>
      <c r="B12" s="38"/>
      <c r="C12" s="38"/>
      <c r="D12" s="38"/>
      <c r="E12" s="38" t="s">
        <v>184</v>
      </c>
      <c r="F12" s="38" t="s">
        <v>185</v>
      </c>
      <c r="G12" s="38" t="s">
        <v>186</v>
      </c>
      <c r="H12" s="38" t="s">
        <v>187</v>
      </c>
      <c r="I12" s="38" t="s">
        <v>188</v>
      </c>
      <c r="J12" s="38" t="s">
        <v>189</v>
      </c>
      <c r="K12" s="38" t="s">
        <v>190</v>
      </c>
      <c r="L12" s="38" t="s">
        <v>191</v>
      </c>
    </row>
    <row r="13" spans="1:12">
      <c r="A13">
        <v>34</v>
      </c>
      <c r="B13" t="s">
        <v>192</v>
      </c>
      <c r="E13">
        <f>COUNTIF('MAGNUS LC'!$D:$D,'Cuadratura 31.12.2023'!B13)</f>
        <v>5</v>
      </c>
      <c r="F13" s="39">
        <f>SUMIFS('MAGNUS LC'!$K:$K,'MAGNUS LC'!$D:$D,'Cuadratura 31.12.2023'!B13)</f>
        <v>1747472</v>
      </c>
      <c r="G13" s="39">
        <f>SUMIFS('MAGNUS LC'!$I:$I,'MAGNUS LC'!$D:$D,'Cuadratura 31.12.2023'!B13)</f>
        <v>0</v>
      </c>
      <c r="H13" s="39">
        <f>SUMIFS('MAGNUS LC'!$J:$J,'MAGNUS LC'!$D:$D,'Cuadratura 31.12.2023'!B13)</f>
        <v>0</v>
      </c>
      <c r="K13" s="42">
        <f t="shared" ref="K13:K16" si="2">SUM(F13:J13)</f>
        <v>1747472</v>
      </c>
    </row>
    <row r="14" spans="1:12">
      <c r="A14">
        <v>33</v>
      </c>
      <c r="B14" t="s">
        <v>193</v>
      </c>
      <c r="E14">
        <f>COUNTIF('MAGNUS LC'!$D:$D,'Cuadratura 31.12.2023'!B14)</f>
        <v>20</v>
      </c>
      <c r="F14" s="39">
        <f>SUMIFS('MAGNUS LC'!$K:$K,'MAGNUS LC'!$D:$D,'Cuadratura 31.12.2023'!B14)</f>
        <v>833245</v>
      </c>
      <c r="G14" s="39">
        <f>SUMIFS('MAGNUS LC'!$I:$I,'MAGNUS LC'!$D:$D,'Cuadratura 31.12.2023'!B14)</f>
        <v>222268066</v>
      </c>
      <c r="H14" s="39">
        <f>SUMIFS('MAGNUS LC'!$J:$J,'MAGNUS LC'!$D:$D,'Cuadratura 31.12.2023'!B14)</f>
        <v>42230931</v>
      </c>
      <c r="K14" s="42">
        <f t="shared" si="2"/>
        <v>265332242</v>
      </c>
    </row>
    <row r="15" spans="1:12">
      <c r="A15">
        <v>61</v>
      </c>
      <c r="B15" t="s">
        <v>194</v>
      </c>
      <c r="E15" s="35">
        <f>COUNTIF('MAGNUS LC'!$D:$D,'Cuadratura 31.12.2023'!B15)</f>
        <v>0</v>
      </c>
      <c r="F15" s="45">
        <f>SUMIFS('MAGNUS LC'!$K:$K,'MAGNUS LC'!$D:$D,'Cuadratura 31.12.2023'!B15)</f>
        <v>0</v>
      </c>
      <c r="G15" s="45">
        <f>SUMIFS('MAGNUS LC'!$I:$I,'MAGNUS LC'!$D:$D,'Cuadratura 31.12.2023'!B15)*-1</f>
        <v>0</v>
      </c>
      <c r="H15" s="45">
        <f>SUMIFS('MAGNUS LC'!$J:$J,'MAGNUS LC'!$D:$D,'Cuadratura 31.12.2023'!B15)*-1</f>
        <v>0</v>
      </c>
      <c r="K15" s="49">
        <f>SUM(F15:J15)</f>
        <v>0</v>
      </c>
    </row>
    <row r="16" spans="1:12">
      <c r="A16">
        <v>56</v>
      </c>
      <c r="B16" t="s">
        <v>195</v>
      </c>
      <c r="E16" s="35">
        <f>COUNTIF('MAGNUS LC'!$D:$D,'Cuadratura 31.12.2023'!B16)</f>
        <v>0</v>
      </c>
      <c r="F16" s="45">
        <f>SUMIFS('MAGNUS LC'!$K:$K,'MAGNUS LC'!$D:$D,'Cuadratura 31.12.2023'!B16)</f>
        <v>0</v>
      </c>
      <c r="G16" s="45">
        <f>SUMIFS('MAGNUS LC'!$I:$I,'MAGNUS LC'!$D:$D,'Cuadratura 31.12.2023'!B16)</f>
        <v>0</v>
      </c>
      <c r="H16" s="45">
        <f>SUMIFS('MAGNUS LC'!$J:$J,'MAGNUS LC'!$D:$D,'Cuadratura 31.12.2023'!B16)</f>
        <v>0</v>
      </c>
      <c r="K16" s="42">
        <f t="shared" si="2"/>
        <v>0</v>
      </c>
    </row>
    <row r="17" spans="1:12">
      <c r="L17" s="42">
        <f>+K13+K14-K15+K16</f>
        <v>267079714</v>
      </c>
    </row>
    <row r="18" spans="1:12">
      <c r="A18" t="s">
        <v>196</v>
      </c>
      <c r="E18" s="40">
        <f>SUM(E13:E17)</f>
        <v>25</v>
      </c>
      <c r="F18" s="40">
        <f>+F13+F14-F15+F16</f>
        <v>2580717</v>
      </c>
      <c r="G18" s="40">
        <f>+G13+G14-G15+G16</f>
        <v>222268066</v>
      </c>
      <c r="H18" s="40">
        <f>+H13+H14-H15+H16</f>
        <v>42230931</v>
      </c>
    </row>
    <row r="19" spans="1:12">
      <c r="J19" s="50">
        <f>SUM(F18:I18)</f>
        <v>267079714</v>
      </c>
      <c r="L19" s="41">
        <f>J19-L17</f>
        <v>0</v>
      </c>
    </row>
    <row r="21" spans="1:12">
      <c r="A21" t="s">
        <v>198</v>
      </c>
    </row>
    <row r="22" spans="1:12">
      <c r="E22" s="38" t="s">
        <v>184</v>
      </c>
      <c r="F22" s="38" t="s">
        <v>185</v>
      </c>
      <c r="G22" s="38" t="s">
        <v>186</v>
      </c>
      <c r="H22" s="38" t="s">
        <v>187</v>
      </c>
      <c r="I22" s="38" t="s">
        <v>188</v>
      </c>
      <c r="J22" s="38" t="s">
        <v>189</v>
      </c>
      <c r="K22" s="38" t="s">
        <v>190</v>
      </c>
      <c r="L22" s="38" t="s">
        <v>191</v>
      </c>
    </row>
    <row r="23" spans="1:12">
      <c r="A23" t="s">
        <v>180</v>
      </c>
      <c r="E23" s="39">
        <f>E3-E13</f>
        <v>0</v>
      </c>
      <c r="F23" s="39">
        <f t="shared" ref="F23:H23" si="3">F3-F13</f>
        <v>0</v>
      </c>
      <c r="G23" s="39">
        <f t="shared" si="3"/>
        <v>0</v>
      </c>
      <c r="H23" s="39">
        <f t="shared" si="3"/>
        <v>0</v>
      </c>
      <c r="K23" s="43">
        <f>K3-K13</f>
        <v>0</v>
      </c>
    </row>
    <row r="24" spans="1:12">
      <c r="A24" s="37" t="s">
        <v>199</v>
      </c>
      <c r="E24" s="39">
        <f>+E14-E4</f>
        <v>0</v>
      </c>
      <c r="F24" s="39">
        <f t="shared" ref="F24:H24" si="4">+F14-F4</f>
        <v>0</v>
      </c>
      <c r="G24" s="39">
        <f t="shared" si="4"/>
        <v>0</v>
      </c>
      <c r="H24" s="39">
        <f t="shared" si="4"/>
        <v>0</v>
      </c>
      <c r="K24" s="43">
        <f>+K4-K14</f>
        <v>0</v>
      </c>
    </row>
    <row r="25" spans="1:12">
      <c r="A25" s="37" t="s">
        <v>181</v>
      </c>
      <c r="E25">
        <f>+E5-E15</f>
        <v>0</v>
      </c>
      <c r="F25">
        <f t="shared" ref="F25:G25" si="5">+F5-F15</f>
        <v>0</v>
      </c>
      <c r="G25">
        <f t="shared" si="5"/>
        <v>0</v>
      </c>
      <c r="H25" s="39">
        <f>+H5-H15</f>
        <v>0</v>
      </c>
      <c r="K25" s="43">
        <f>+K5-K15</f>
        <v>0</v>
      </c>
    </row>
    <row r="26" spans="1:12">
      <c r="A26" s="37" t="s">
        <v>197</v>
      </c>
      <c r="E26">
        <f>E6-E16</f>
        <v>0</v>
      </c>
      <c r="F26">
        <f t="shared" ref="F26:H26" si="6">F6-F16</f>
        <v>0</v>
      </c>
      <c r="G26">
        <f t="shared" si="6"/>
        <v>0</v>
      </c>
      <c r="H26">
        <f t="shared" si="6"/>
        <v>0</v>
      </c>
      <c r="K26" s="43">
        <f t="shared" ref="K26" si="7">+K6-K16</f>
        <v>0</v>
      </c>
    </row>
  </sheetData>
  <mergeCells count="2">
    <mergeCell ref="A1:L1"/>
    <mergeCell ref="A11:L11"/>
  </mergeCells>
  <pageMargins left="0.7" right="0.7" top="0.75" bottom="0.75" header="0.3" footer="0.3"/>
  <pageSetup orientation="portrait" r:id="rId1"/>
  <headerFooter>
    <oddFooter>&amp;C_x000D_&amp;1#&amp;"Calibri"&amp;10&amp;K000000 Clasificación: Interno, no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410E-634C-4503-AD5C-230F15738B1F}">
  <sheetPr>
    <tabColor rgb="FF002060"/>
  </sheetPr>
  <dimension ref="A1:N29"/>
  <sheetViews>
    <sheetView workbookViewId="0">
      <selection activeCell="A30" sqref="A30:XFD37"/>
    </sheetView>
  </sheetViews>
  <sheetFormatPr baseColWidth="10" defaultRowHeight="15"/>
  <sheetData>
    <row r="1" spans="1:14">
      <c r="A1" t="s">
        <v>212</v>
      </c>
    </row>
    <row r="2" spans="1:14">
      <c r="A2" t="s">
        <v>293</v>
      </c>
    </row>
    <row r="3" spans="1:14" ht="45">
      <c r="A3" s="55" t="s">
        <v>204</v>
      </c>
      <c r="B3" s="55" t="s">
        <v>205</v>
      </c>
      <c r="C3" s="55" t="s">
        <v>206</v>
      </c>
      <c r="D3" s="55" t="s">
        <v>207</v>
      </c>
      <c r="E3" s="55" t="s">
        <v>208</v>
      </c>
      <c r="F3" t="s">
        <v>209</v>
      </c>
      <c r="G3" t="s">
        <v>4</v>
      </c>
      <c r="I3" t="s">
        <v>186</v>
      </c>
      <c r="J3" t="s">
        <v>187</v>
      </c>
      <c r="K3" t="s">
        <v>185</v>
      </c>
      <c r="L3" t="s">
        <v>210</v>
      </c>
      <c r="M3" t="s">
        <v>211</v>
      </c>
      <c r="N3" t="s">
        <v>190</v>
      </c>
    </row>
    <row r="4" spans="1:14">
      <c r="A4" s="33">
        <v>45278</v>
      </c>
      <c r="B4" s="33">
        <v>45278</v>
      </c>
      <c r="C4">
        <v>20231200011</v>
      </c>
      <c r="D4" t="s">
        <v>240</v>
      </c>
      <c r="E4">
        <v>402029597</v>
      </c>
      <c r="F4">
        <v>608050000</v>
      </c>
      <c r="G4" t="s">
        <v>241</v>
      </c>
      <c r="J4" s="39">
        <v>52333</v>
      </c>
      <c r="N4" s="39">
        <v>52333</v>
      </c>
    </row>
    <row r="5" spans="1:14">
      <c r="A5" s="33">
        <v>45261</v>
      </c>
      <c r="B5" s="33">
        <v>45261</v>
      </c>
      <c r="C5">
        <v>20231200001</v>
      </c>
      <c r="D5" t="s">
        <v>192</v>
      </c>
      <c r="E5">
        <v>1331</v>
      </c>
      <c r="F5">
        <v>777163124</v>
      </c>
      <c r="G5" t="s">
        <v>161</v>
      </c>
      <c r="K5" s="39">
        <v>1043472</v>
      </c>
      <c r="N5" s="39">
        <v>1043472</v>
      </c>
    </row>
    <row r="6" spans="1:14">
      <c r="A6" s="33">
        <v>45271</v>
      </c>
      <c r="B6" s="33">
        <v>45271</v>
      </c>
      <c r="C6">
        <v>20231200020</v>
      </c>
      <c r="D6" t="s">
        <v>192</v>
      </c>
      <c r="E6">
        <v>3442</v>
      </c>
      <c r="F6">
        <v>760794058</v>
      </c>
      <c r="G6" t="s">
        <v>275</v>
      </c>
      <c r="K6" s="39">
        <v>704000</v>
      </c>
      <c r="N6" s="39">
        <v>704000</v>
      </c>
    </row>
    <row r="7" spans="1:14">
      <c r="A7" s="33">
        <v>45267</v>
      </c>
      <c r="B7" s="33">
        <v>45267</v>
      </c>
      <c r="C7">
        <v>20231200024</v>
      </c>
      <c r="D7" t="s">
        <v>192</v>
      </c>
      <c r="E7">
        <v>1805946</v>
      </c>
      <c r="F7">
        <v>970230009</v>
      </c>
      <c r="G7" t="s">
        <v>242</v>
      </c>
    </row>
    <row r="8" spans="1:14">
      <c r="A8" s="33">
        <v>45288</v>
      </c>
      <c r="B8" s="33">
        <v>45288</v>
      </c>
      <c r="C8">
        <v>20231200025</v>
      </c>
      <c r="D8" t="s">
        <v>192</v>
      </c>
      <c r="E8">
        <v>2026362</v>
      </c>
      <c r="F8">
        <v>970230009</v>
      </c>
      <c r="G8" t="s">
        <v>242</v>
      </c>
    </row>
    <row r="9" spans="1:14">
      <c r="A9" s="33">
        <v>45289</v>
      </c>
      <c r="B9" s="33">
        <v>45289</v>
      </c>
      <c r="C9">
        <v>20231200026</v>
      </c>
      <c r="D9" t="s">
        <v>192</v>
      </c>
      <c r="E9">
        <v>2028745</v>
      </c>
      <c r="F9">
        <v>970230009</v>
      </c>
      <c r="G9" t="s">
        <v>242</v>
      </c>
    </row>
    <row r="10" spans="1:14">
      <c r="A10" s="33">
        <v>45267</v>
      </c>
      <c r="B10" s="33">
        <v>45267</v>
      </c>
      <c r="C10">
        <v>20231200002</v>
      </c>
      <c r="D10" t="s">
        <v>193</v>
      </c>
      <c r="E10">
        <v>6413164</v>
      </c>
      <c r="F10">
        <v>970230009</v>
      </c>
      <c r="G10" t="s">
        <v>242</v>
      </c>
      <c r="I10">
        <v>731</v>
      </c>
      <c r="J10">
        <v>139</v>
      </c>
      <c r="N10">
        <v>870</v>
      </c>
    </row>
    <row r="11" spans="1:14">
      <c r="A11" s="33">
        <v>45271</v>
      </c>
      <c r="B11" s="33">
        <v>45271</v>
      </c>
      <c r="C11">
        <v>20231200003</v>
      </c>
      <c r="D11" t="s">
        <v>193</v>
      </c>
      <c r="E11">
        <v>6426323</v>
      </c>
      <c r="F11">
        <v>970230009</v>
      </c>
      <c r="G11" t="s">
        <v>242</v>
      </c>
      <c r="I11" s="39">
        <v>91422</v>
      </c>
      <c r="J11" s="39">
        <v>17370</v>
      </c>
      <c r="N11" s="39">
        <v>108792</v>
      </c>
    </row>
    <row r="12" spans="1:14">
      <c r="A12" s="33">
        <v>45273</v>
      </c>
      <c r="B12" s="33">
        <v>45273</v>
      </c>
      <c r="C12">
        <v>20231200004</v>
      </c>
      <c r="D12" t="s">
        <v>193</v>
      </c>
      <c r="E12">
        <v>6432905</v>
      </c>
      <c r="F12">
        <v>970230009</v>
      </c>
      <c r="G12" t="s">
        <v>242</v>
      </c>
      <c r="I12" s="39">
        <v>96868</v>
      </c>
      <c r="J12" s="39">
        <v>18405</v>
      </c>
      <c r="N12" s="39">
        <v>115273</v>
      </c>
    </row>
    <row r="13" spans="1:14">
      <c r="A13" s="33">
        <v>45279</v>
      </c>
      <c r="B13" s="33">
        <v>45279</v>
      </c>
      <c r="C13">
        <v>20231200005</v>
      </c>
      <c r="D13" t="s">
        <v>193</v>
      </c>
      <c r="E13">
        <v>128038</v>
      </c>
      <c r="F13">
        <v>968416308</v>
      </c>
      <c r="G13" t="s">
        <v>249</v>
      </c>
      <c r="I13" s="39">
        <v>6981311</v>
      </c>
      <c r="J13" s="39">
        <v>1326449</v>
      </c>
      <c r="N13" s="39">
        <v>8307760</v>
      </c>
    </row>
    <row r="14" spans="1:14">
      <c r="A14" s="33">
        <v>45279</v>
      </c>
      <c r="B14" s="33">
        <v>45279</v>
      </c>
      <c r="C14">
        <v>20231200006</v>
      </c>
      <c r="D14" t="s">
        <v>193</v>
      </c>
      <c r="E14">
        <v>128039</v>
      </c>
      <c r="F14">
        <v>968416308</v>
      </c>
      <c r="G14" t="s">
        <v>249</v>
      </c>
      <c r="I14" s="39">
        <v>6512813</v>
      </c>
      <c r="J14" s="39">
        <v>1237434</v>
      </c>
      <c r="N14" s="39">
        <v>7750247</v>
      </c>
    </row>
    <row r="15" spans="1:14">
      <c r="A15" s="33">
        <v>45279</v>
      </c>
      <c r="B15" s="33">
        <v>45279</v>
      </c>
      <c r="C15">
        <v>20231200007</v>
      </c>
      <c r="D15" t="s">
        <v>193</v>
      </c>
      <c r="E15">
        <v>128040</v>
      </c>
      <c r="F15">
        <v>968416308</v>
      </c>
      <c r="G15" t="s">
        <v>249</v>
      </c>
      <c r="I15" s="39">
        <v>3281032</v>
      </c>
      <c r="J15" s="39">
        <v>623396</v>
      </c>
      <c r="N15" s="39">
        <v>3904428</v>
      </c>
    </row>
    <row r="16" spans="1:14">
      <c r="A16" s="33">
        <v>45279</v>
      </c>
      <c r="B16" s="33">
        <v>45279</v>
      </c>
      <c r="C16">
        <v>20231200008</v>
      </c>
      <c r="D16" t="s">
        <v>193</v>
      </c>
      <c r="E16">
        <v>128043</v>
      </c>
      <c r="F16">
        <v>968416308</v>
      </c>
      <c r="G16" t="s">
        <v>249</v>
      </c>
      <c r="I16" s="39">
        <v>1540927</v>
      </c>
      <c r="J16" s="39">
        <v>292776</v>
      </c>
      <c r="N16" s="39">
        <v>1833703</v>
      </c>
    </row>
    <row r="17" spans="1:14">
      <c r="A17" s="33">
        <v>45281</v>
      </c>
      <c r="B17" s="33">
        <v>45281</v>
      </c>
      <c r="C17">
        <v>20231200009</v>
      </c>
      <c r="D17" t="s">
        <v>193</v>
      </c>
      <c r="E17">
        <v>6441008</v>
      </c>
      <c r="F17">
        <v>970230009</v>
      </c>
      <c r="G17" t="s">
        <v>242</v>
      </c>
      <c r="I17" s="39">
        <v>95565</v>
      </c>
      <c r="J17" s="39">
        <v>18157</v>
      </c>
      <c r="N17" s="39">
        <v>113722</v>
      </c>
    </row>
    <row r="18" spans="1:14">
      <c r="A18" s="33">
        <v>45288</v>
      </c>
      <c r="B18" s="33">
        <v>45288</v>
      </c>
      <c r="C18">
        <v>20231200010</v>
      </c>
      <c r="D18" t="s">
        <v>193</v>
      </c>
      <c r="E18">
        <v>6447975</v>
      </c>
      <c r="F18">
        <v>970230009</v>
      </c>
      <c r="G18" t="s">
        <v>242</v>
      </c>
      <c r="I18" s="39">
        <v>97497</v>
      </c>
      <c r="J18" s="39">
        <v>18524</v>
      </c>
      <c r="N18" s="39">
        <v>116021</v>
      </c>
    </row>
    <row r="19" spans="1:14">
      <c r="A19" s="33">
        <v>45261</v>
      </c>
      <c r="B19" s="33">
        <v>45261</v>
      </c>
      <c r="C19">
        <v>20231200012</v>
      </c>
      <c r="D19" t="s">
        <v>193</v>
      </c>
      <c r="E19">
        <v>952</v>
      </c>
      <c r="F19">
        <v>771903932</v>
      </c>
      <c r="G19" t="s">
        <v>214</v>
      </c>
      <c r="I19" s="39">
        <v>219179</v>
      </c>
      <c r="J19" s="39">
        <v>41644</v>
      </c>
      <c r="N19" s="39">
        <v>260823</v>
      </c>
    </row>
    <row r="20" spans="1:14">
      <c r="A20" s="33">
        <v>45261</v>
      </c>
      <c r="B20" s="33">
        <v>45261</v>
      </c>
      <c r="C20">
        <v>20231200013</v>
      </c>
      <c r="D20" t="s">
        <v>193</v>
      </c>
      <c r="E20">
        <v>230611</v>
      </c>
      <c r="F20">
        <v>968518003</v>
      </c>
      <c r="G20" t="s">
        <v>271</v>
      </c>
      <c r="I20" s="39">
        <v>17900</v>
      </c>
      <c r="J20" s="39">
        <v>3401</v>
      </c>
      <c r="K20" s="39">
        <v>615760</v>
      </c>
      <c r="N20" s="39">
        <v>637061</v>
      </c>
    </row>
    <row r="21" spans="1:14">
      <c r="A21" s="33">
        <v>45261</v>
      </c>
      <c r="B21" s="33">
        <v>45261</v>
      </c>
      <c r="C21">
        <v>20231200014</v>
      </c>
      <c r="D21" t="s">
        <v>193</v>
      </c>
      <c r="E21">
        <v>230612</v>
      </c>
      <c r="F21">
        <v>968518003</v>
      </c>
      <c r="G21" t="s">
        <v>271</v>
      </c>
      <c r="I21" s="39">
        <v>17900</v>
      </c>
      <c r="J21" s="39">
        <v>3401</v>
      </c>
      <c r="K21" s="39">
        <v>217485</v>
      </c>
      <c r="N21" s="39">
        <v>238786</v>
      </c>
    </row>
    <row r="22" spans="1:14">
      <c r="A22" s="33">
        <v>45261</v>
      </c>
      <c r="B22" s="33">
        <v>45261</v>
      </c>
      <c r="C22">
        <v>20231200015</v>
      </c>
      <c r="D22" t="s">
        <v>193</v>
      </c>
      <c r="E22">
        <v>96</v>
      </c>
      <c r="F22">
        <v>774500820</v>
      </c>
      <c r="G22" t="s">
        <v>232</v>
      </c>
      <c r="I22" s="39">
        <v>67227</v>
      </c>
      <c r="J22" s="39">
        <v>12773</v>
      </c>
      <c r="N22" s="39">
        <v>80000</v>
      </c>
    </row>
    <row r="23" spans="1:14">
      <c r="A23" s="33">
        <v>45261</v>
      </c>
      <c r="B23" s="33">
        <v>45261</v>
      </c>
      <c r="C23">
        <v>20231200016</v>
      </c>
      <c r="D23" t="s">
        <v>193</v>
      </c>
      <c r="E23">
        <v>343259</v>
      </c>
      <c r="F23">
        <v>836281004</v>
      </c>
      <c r="G23" t="s">
        <v>294</v>
      </c>
      <c r="I23" s="39">
        <v>202813239</v>
      </c>
      <c r="J23" s="39">
        <v>38534515</v>
      </c>
      <c r="N23" s="39">
        <v>241347754</v>
      </c>
    </row>
    <row r="24" spans="1:14">
      <c r="A24" s="33">
        <v>45261</v>
      </c>
      <c r="B24" s="33">
        <v>45261</v>
      </c>
      <c r="C24">
        <v>20231200017</v>
      </c>
      <c r="D24" t="s">
        <v>193</v>
      </c>
      <c r="E24">
        <v>19897331</v>
      </c>
      <c r="F24" t="s">
        <v>295</v>
      </c>
      <c r="G24" t="s">
        <v>265</v>
      </c>
      <c r="I24" s="39">
        <v>19080</v>
      </c>
      <c r="J24" s="39">
        <v>3626</v>
      </c>
      <c r="N24" s="39">
        <v>22706</v>
      </c>
    </row>
    <row r="25" spans="1:14">
      <c r="A25" s="33">
        <v>45263</v>
      </c>
      <c r="B25" s="33">
        <v>45263</v>
      </c>
      <c r="C25">
        <v>20231200018</v>
      </c>
      <c r="D25" t="s">
        <v>193</v>
      </c>
      <c r="E25">
        <v>19897339</v>
      </c>
      <c r="F25" t="s">
        <v>295</v>
      </c>
      <c r="G25" t="s">
        <v>265</v>
      </c>
      <c r="I25" s="39">
        <v>79934</v>
      </c>
      <c r="J25" s="39">
        <v>15188</v>
      </c>
      <c r="N25" s="39">
        <v>95122</v>
      </c>
    </row>
    <row r="26" spans="1:14">
      <c r="A26" s="33">
        <v>45268</v>
      </c>
      <c r="B26" s="33">
        <v>45268</v>
      </c>
      <c r="C26">
        <v>20231200019</v>
      </c>
      <c r="D26" t="s">
        <v>193</v>
      </c>
      <c r="E26">
        <v>19897358</v>
      </c>
      <c r="F26" t="s">
        <v>295</v>
      </c>
      <c r="G26" t="s">
        <v>265</v>
      </c>
      <c r="I26" s="39">
        <v>17634</v>
      </c>
      <c r="J26" s="39">
        <v>3350</v>
      </c>
      <c r="N26" s="39">
        <v>20984</v>
      </c>
    </row>
    <row r="27" spans="1:14">
      <c r="A27" s="33">
        <v>45274</v>
      </c>
      <c r="B27" s="33">
        <v>45274</v>
      </c>
      <c r="C27">
        <v>20231200021</v>
      </c>
      <c r="D27" t="s">
        <v>193</v>
      </c>
      <c r="E27">
        <v>99</v>
      </c>
      <c r="F27">
        <v>774500820</v>
      </c>
      <c r="G27" t="s">
        <v>232</v>
      </c>
      <c r="I27" s="39">
        <v>57000</v>
      </c>
      <c r="J27" s="39">
        <v>10830</v>
      </c>
      <c r="N27" s="39">
        <v>67830</v>
      </c>
    </row>
    <row r="28" spans="1:14">
      <c r="A28" s="33">
        <v>45279</v>
      </c>
      <c r="B28" s="33">
        <v>45279</v>
      </c>
      <c r="C28">
        <v>20231200022</v>
      </c>
      <c r="D28" t="s">
        <v>193</v>
      </c>
      <c r="E28">
        <v>991115</v>
      </c>
      <c r="F28">
        <v>789534705</v>
      </c>
      <c r="G28" t="s">
        <v>296</v>
      </c>
      <c r="I28" s="39">
        <v>40517</v>
      </c>
      <c r="J28" s="39">
        <v>7698</v>
      </c>
      <c r="N28" s="39">
        <v>48215</v>
      </c>
    </row>
    <row r="29" spans="1:14">
      <c r="A29" s="33">
        <v>45282</v>
      </c>
      <c r="B29" s="33">
        <v>45282</v>
      </c>
      <c r="C29">
        <v>20231200023</v>
      </c>
      <c r="D29" t="s">
        <v>193</v>
      </c>
      <c r="E29">
        <v>1031</v>
      </c>
      <c r="F29">
        <v>771903932</v>
      </c>
      <c r="G29" t="s">
        <v>214</v>
      </c>
      <c r="I29" s="39">
        <v>220290</v>
      </c>
      <c r="J29" s="39">
        <v>41855</v>
      </c>
      <c r="N29" s="39">
        <v>262145</v>
      </c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36B7-D5CA-40A7-8397-F8E7E82088FE}">
  <dimension ref="A1:K128"/>
  <sheetViews>
    <sheetView topLeftCell="A15" zoomScale="84" zoomScaleNormal="84" workbookViewId="0">
      <selection activeCell="A38" sqref="A38:B38"/>
    </sheetView>
  </sheetViews>
  <sheetFormatPr baseColWidth="10" defaultRowHeight="15"/>
  <cols>
    <col min="2" max="2" width="41.5703125" customWidth="1"/>
    <col min="3" max="10" width="16.85546875" customWidth="1"/>
  </cols>
  <sheetData>
    <row r="1" spans="1:11">
      <c r="A1" s="11"/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75">
      <c r="A2" s="69"/>
      <c r="B2" s="69"/>
      <c r="C2" s="69"/>
      <c r="D2" s="69"/>
      <c r="E2" s="69"/>
      <c r="F2" s="69"/>
      <c r="G2" s="69"/>
      <c r="H2" s="69"/>
      <c r="I2" s="69"/>
      <c r="J2" s="69"/>
      <c r="K2" s="12"/>
    </row>
    <row r="3" spans="1:11" ht="15.75">
      <c r="A3" s="69" t="s">
        <v>52</v>
      </c>
      <c r="B3" s="69"/>
      <c r="C3" s="69"/>
      <c r="D3" s="69"/>
      <c r="E3" s="69"/>
      <c r="F3" s="69"/>
      <c r="G3" s="69"/>
      <c r="H3" s="69"/>
      <c r="I3" s="69"/>
      <c r="J3" s="69"/>
      <c r="K3" s="12"/>
    </row>
    <row r="4" spans="1:11" ht="15.75">
      <c r="A4" s="69"/>
      <c r="B4" s="69"/>
      <c r="C4" s="69"/>
      <c r="D4" s="69"/>
      <c r="E4" s="69"/>
      <c r="F4" s="69"/>
      <c r="G4" s="69"/>
      <c r="H4" s="69"/>
      <c r="I4" s="69"/>
      <c r="J4" s="69"/>
      <c r="K4" s="12"/>
    </row>
    <row r="5" spans="1:11">
      <c r="A5" s="11"/>
      <c r="B5" s="11"/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1"/>
      <c r="B6" s="11"/>
      <c r="C6" s="12"/>
      <c r="D6" s="12"/>
      <c r="E6" s="12"/>
      <c r="F6" s="12"/>
      <c r="G6" s="12"/>
      <c r="H6" s="12"/>
      <c r="I6" s="12"/>
      <c r="J6" s="12"/>
      <c r="K6" s="12"/>
    </row>
    <row r="7" spans="1:11" ht="15.75">
      <c r="A7" s="70" t="s">
        <v>53</v>
      </c>
      <c r="B7" s="72" t="s">
        <v>54</v>
      </c>
      <c r="C7" s="74" t="s">
        <v>55</v>
      </c>
      <c r="D7" s="75"/>
      <c r="E7" s="74" t="s">
        <v>56</v>
      </c>
      <c r="F7" s="75"/>
      <c r="G7" s="74" t="s">
        <v>57</v>
      </c>
      <c r="H7" s="75"/>
      <c r="I7" s="74" t="s">
        <v>58</v>
      </c>
      <c r="J7" s="75"/>
      <c r="K7" s="12"/>
    </row>
    <row r="8" spans="1:11" ht="15.75">
      <c r="A8" s="71"/>
      <c r="B8" s="73"/>
      <c r="C8" s="13" t="s">
        <v>59</v>
      </c>
      <c r="D8" s="13" t="s">
        <v>60</v>
      </c>
      <c r="E8" s="13" t="s">
        <v>61</v>
      </c>
      <c r="F8" s="13" t="s">
        <v>62</v>
      </c>
      <c r="G8" s="13" t="s">
        <v>63</v>
      </c>
      <c r="H8" s="13" t="s">
        <v>64</v>
      </c>
      <c r="I8" s="13" t="s">
        <v>65</v>
      </c>
      <c r="J8" s="13" t="s">
        <v>66</v>
      </c>
      <c r="K8" s="12"/>
    </row>
    <row r="9" spans="1:11" ht="16.5">
      <c r="A9" s="14">
        <v>1101201</v>
      </c>
      <c r="B9" s="14" t="s">
        <v>67</v>
      </c>
      <c r="C9" s="15">
        <v>290796</v>
      </c>
      <c r="D9" s="15">
        <v>322396</v>
      </c>
      <c r="E9" s="15"/>
      <c r="F9" s="15">
        <v>31600</v>
      </c>
      <c r="G9" s="15"/>
      <c r="H9" s="15">
        <v>31600</v>
      </c>
      <c r="I9" s="15"/>
      <c r="J9" s="15"/>
      <c r="K9" s="16"/>
    </row>
    <row r="10" spans="1:11" ht="16.5">
      <c r="A10" s="14">
        <v>1101202</v>
      </c>
      <c r="B10" s="14" t="s">
        <v>68</v>
      </c>
      <c r="C10" s="15">
        <v>442010</v>
      </c>
      <c r="D10" s="15">
        <v>367410</v>
      </c>
      <c r="E10" s="15">
        <v>74600</v>
      </c>
      <c r="F10" s="15"/>
      <c r="G10" s="15">
        <v>74600</v>
      </c>
      <c r="H10" s="15"/>
      <c r="I10" s="15"/>
      <c r="J10" s="15"/>
      <c r="K10" s="16"/>
    </row>
    <row r="11" spans="1:11" ht="16.5">
      <c r="A11" s="14">
        <v>1101203</v>
      </c>
      <c r="B11" s="14" t="s">
        <v>69</v>
      </c>
      <c r="C11" s="15">
        <v>405688</v>
      </c>
      <c r="D11" s="15">
        <v>530118</v>
      </c>
      <c r="E11" s="15"/>
      <c r="F11" s="15">
        <v>124430</v>
      </c>
      <c r="G11" s="15"/>
      <c r="H11" s="15">
        <v>124430</v>
      </c>
      <c r="I11" s="15"/>
      <c r="J11" s="15"/>
      <c r="K11" s="16"/>
    </row>
    <row r="12" spans="1:11" ht="16.5">
      <c r="A12" s="14">
        <v>1101204</v>
      </c>
      <c r="B12" s="14" t="s">
        <v>70</v>
      </c>
      <c r="C12" s="15">
        <v>880930</v>
      </c>
      <c r="D12" s="15">
        <v>780930</v>
      </c>
      <c r="E12" s="15">
        <v>100000</v>
      </c>
      <c r="F12" s="15"/>
      <c r="G12" s="15">
        <v>100000</v>
      </c>
      <c r="H12" s="15"/>
      <c r="I12" s="15"/>
      <c r="J12" s="15"/>
      <c r="K12" s="16"/>
    </row>
    <row r="13" spans="1:11" ht="16.5">
      <c r="A13" s="14">
        <v>1101205</v>
      </c>
      <c r="B13" s="14" t="s">
        <v>71</v>
      </c>
      <c r="C13" s="15">
        <v>397062</v>
      </c>
      <c r="D13" s="15">
        <v>461277</v>
      </c>
      <c r="E13" s="15"/>
      <c r="F13" s="15">
        <v>64215</v>
      </c>
      <c r="G13" s="15"/>
      <c r="H13" s="15">
        <v>64215</v>
      </c>
      <c r="I13" s="15"/>
      <c r="J13" s="15"/>
      <c r="K13" s="16"/>
    </row>
    <row r="14" spans="1:11" ht="16.5">
      <c r="A14" s="14">
        <v>1101206</v>
      </c>
      <c r="B14" s="14" t="s">
        <v>72</v>
      </c>
      <c r="C14" s="15">
        <v>574650</v>
      </c>
      <c r="D14" s="15">
        <v>758950</v>
      </c>
      <c r="E14" s="15"/>
      <c r="F14" s="15">
        <v>184300</v>
      </c>
      <c r="G14" s="15"/>
      <c r="H14" s="15">
        <v>184300</v>
      </c>
      <c r="I14" s="15"/>
      <c r="J14" s="15"/>
      <c r="K14" s="16"/>
    </row>
    <row r="15" spans="1:11" ht="16.5">
      <c r="A15" s="14">
        <v>1101207</v>
      </c>
      <c r="B15" s="14" t="s">
        <v>73</v>
      </c>
      <c r="C15" s="15">
        <v>519635</v>
      </c>
      <c r="D15" s="15">
        <v>492495</v>
      </c>
      <c r="E15" s="15">
        <v>27140</v>
      </c>
      <c r="F15" s="15"/>
      <c r="G15" s="15">
        <v>27140</v>
      </c>
      <c r="H15" s="15"/>
      <c r="I15" s="15"/>
      <c r="J15" s="15"/>
      <c r="K15" s="16"/>
    </row>
    <row r="16" spans="1:11" ht="16.5">
      <c r="A16" s="14">
        <v>1101208</v>
      </c>
      <c r="B16" s="14" t="s">
        <v>74</v>
      </c>
      <c r="C16" s="15">
        <v>1749411</v>
      </c>
      <c r="D16" s="15">
        <v>1105307</v>
      </c>
      <c r="E16" s="15">
        <v>644104</v>
      </c>
      <c r="F16" s="15"/>
      <c r="G16" s="15">
        <v>644104</v>
      </c>
      <c r="H16" s="15"/>
      <c r="I16" s="15"/>
      <c r="J16" s="15"/>
      <c r="K16" s="16"/>
    </row>
    <row r="17" spans="1:11" ht="16.5">
      <c r="A17" s="14">
        <v>1101209</v>
      </c>
      <c r="B17" s="14" t="s">
        <v>75</v>
      </c>
      <c r="C17" s="15">
        <v>0</v>
      </c>
      <c r="D17" s="15">
        <v>4899</v>
      </c>
      <c r="E17" s="15"/>
      <c r="F17" s="15">
        <v>4899</v>
      </c>
      <c r="G17" s="15"/>
      <c r="H17" s="15">
        <v>4899</v>
      </c>
      <c r="I17" s="15"/>
      <c r="J17" s="15"/>
      <c r="K17" s="16"/>
    </row>
    <row r="18" spans="1:11" ht="16.5">
      <c r="A18" s="14">
        <v>1101301</v>
      </c>
      <c r="B18" s="14" t="s">
        <v>76</v>
      </c>
      <c r="C18" s="15">
        <v>1801915739</v>
      </c>
      <c r="D18" s="15">
        <v>1314115527</v>
      </c>
      <c r="E18" s="15">
        <v>487800212</v>
      </c>
      <c r="F18" s="15"/>
      <c r="G18" s="15">
        <v>487800212</v>
      </c>
      <c r="H18" s="15"/>
      <c r="I18" s="15"/>
      <c r="J18" s="15"/>
      <c r="K18" s="16"/>
    </row>
    <row r="19" spans="1:11" ht="16.5">
      <c r="A19" s="14">
        <v>1101302</v>
      </c>
      <c r="B19" s="14" t="s">
        <v>77</v>
      </c>
      <c r="C19" s="15">
        <v>86763389</v>
      </c>
      <c r="D19" s="15">
        <v>28552926</v>
      </c>
      <c r="E19" s="15">
        <v>58210463</v>
      </c>
      <c r="F19" s="15"/>
      <c r="G19" s="15">
        <v>58210463</v>
      </c>
      <c r="H19" s="15"/>
      <c r="I19" s="15"/>
      <c r="J19" s="15"/>
      <c r="K19" s="16"/>
    </row>
    <row r="20" spans="1:11" ht="16.5">
      <c r="A20" s="14">
        <v>1102106</v>
      </c>
      <c r="B20" s="14" t="s">
        <v>78</v>
      </c>
      <c r="C20" s="15">
        <v>4476544</v>
      </c>
      <c r="D20" s="15">
        <v>0</v>
      </c>
      <c r="E20" s="15">
        <v>4476544</v>
      </c>
      <c r="F20" s="15"/>
      <c r="G20" s="15">
        <v>4476544</v>
      </c>
      <c r="H20" s="15"/>
      <c r="I20" s="15"/>
      <c r="J20" s="15"/>
      <c r="K20" s="16"/>
    </row>
    <row r="21" spans="1:11" ht="16.5">
      <c r="A21" s="14">
        <v>1103201</v>
      </c>
      <c r="B21" s="14" t="s">
        <v>79</v>
      </c>
      <c r="C21" s="15">
        <v>78226426</v>
      </c>
      <c r="D21" s="15">
        <v>7056642</v>
      </c>
      <c r="E21" s="15">
        <v>71169784</v>
      </c>
      <c r="F21" s="15"/>
      <c r="G21" s="15">
        <v>71169784</v>
      </c>
      <c r="H21" s="15"/>
      <c r="I21" s="15"/>
      <c r="J21" s="15"/>
      <c r="K21" s="16"/>
    </row>
    <row r="22" spans="1:11" ht="16.5">
      <c r="A22" s="14">
        <v>1104101</v>
      </c>
      <c r="B22" s="14" t="s">
        <v>80</v>
      </c>
      <c r="C22" s="15">
        <v>10563630</v>
      </c>
      <c r="D22" s="15">
        <v>10563630</v>
      </c>
      <c r="E22" s="15"/>
      <c r="F22" s="15"/>
      <c r="G22" s="15"/>
      <c r="H22" s="15"/>
      <c r="I22" s="15"/>
      <c r="J22" s="15"/>
      <c r="K22" s="16"/>
    </row>
    <row r="23" spans="1:11" ht="16.5">
      <c r="A23" s="14">
        <v>1104102</v>
      </c>
      <c r="B23" s="14" t="s">
        <v>81</v>
      </c>
      <c r="C23" s="15">
        <v>7537524540</v>
      </c>
      <c r="D23" s="15">
        <v>7317357217</v>
      </c>
      <c r="E23" s="15">
        <v>220167323</v>
      </c>
      <c r="F23" s="15"/>
      <c r="G23" s="15">
        <v>220167323</v>
      </c>
      <c r="H23" s="15"/>
      <c r="I23" s="15"/>
      <c r="J23" s="15"/>
      <c r="K23" s="16"/>
    </row>
    <row r="24" spans="1:11" ht="16.5">
      <c r="A24" s="14">
        <v>1104104</v>
      </c>
      <c r="B24" s="14" t="s">
        <v>82</v>
      </c>
      <c r="C24" s="15">
        <v>16097453</v>
      </c>
      <c r="D24" s="15">
        <v>13351442</v>
      </c>
      <c r="E24" s="15">
        <v>2746011</v>
      </c>
      <c r="F24" s="15"/>
      <c r="G24" s="15">
        <v>2746011</v>
      </c>
      <c r="H24" s="15"/>
      <c r="I24" s="15"/>
      <c r="J24" s="15"/>
      <c r="K24" s="16"/>
    </row>
    <row r="25" spans="1:11" ht="16.5">
      <c r="A25" s="14">
        <v>1104105</v>
      </c>
      <c r="B25" s="14" t="s">
        <v>83</v>
      </c>
      <c r="C25" s="15">
        <v>1282967537</v>
      </c>
      <c r="D25" s="15">
        <v>1179206870</v>
      </c>
      <c r="E25" s="15">
        <v>103760667</v>
      </c>
      <c r="F25" s="15"/>
      <c r="G25" s="15">
        <v>103760667</v>
      </c>
      <c r="H25" s="15"/>
      <c r="I25" s="15"/>
      <c r="J25" s="15"/>
      <c r="K25" s="16"/>
    </row>
    <row r="26" spans="1:11" ht="16.5">
      <c r="A26" s="14">
        <v>1104106</v>
      </c>
      <c r="B26" s="14" t="s">
        <v>84</v>
      </c>
      <c r="C26" s="15">
        <v>753444795</v>
      </c>
      <c r="D26" s="15">
        <v>732872636</v>
      </c>
      <c r="E26" s="15">
        <v>20572159</v>
      </c>
      <c r="F26" s="15"/>
      <c r="G26" s="15">
        <v>20572159</v>
      </c>
      <c r="H26" s="15"/>
      <c r="I26" s="15"/>
      <c r="J26" s="15"/>
      <c r="K26" s="16"/>
    </row>
    <row r="27" spans="1:11" ht="16.5">
      <c r="A27" s="14">
        <v>1104111</v>
      </c>
      <c r="B27" s="14" t="s">
        <v>85</v>
      </c>
      <c r="C27" s="15">
        <v>386419703</v>
      </c>
      <c r="D27" s="15">
        <v>308133669</v>
      </c>
      <c r="E27" s="15">
        <v>78286034</v>
      </c>
      <c r="F27" s="15"/>
      <c r="G27" s="15">
        <v>78286034</v>
      </c>
      <c r="H27" s="15"/>
      <c r="I27" s="15"/>
      <c r="J27" s="15"/>
      <c r="K27" s="16"/>
    </row>
    <row r="28" spans="1:11" ht="16.5">
      <c r="A28" s="14">
        <v>1104302</v>
      </c>
      <c r="B28" s="14" t="s">
        <v>86</v>
      </c>
      <c r="C28" s="15">
        <v>17712932</v>
      </c>
      <c r="D28" s="15">
        <v>17831375</v>
      </c>
      <c r="E28" s="15"/>
      <c r="F28" s="15">
        <v>118443</v>
      </c>
      <c r="G28" s="15"/>
      <c r="H28" s="15">
        <v>118443</v>
      </c>
      <c r="I28" s="15"/>
      <c r="J28" s="15"/>
      <c r="K28" s="16"/>
    </row>
    <row r="29" spans="1:11" ht="16.5">
      <c r="A29" s="14">
        <v>1104403</v>
      </c>
      <c r="B29" s="14" t="s">
        <v>87</v>
      </c>
      <c r="C29" s="15">
        <v>289899801</v>
      </c>
      <c r="D29" s="15">
        <v>205472533</v>
      </c>
      <c r="E29" s="15">
        <v>84427268</v>
      </c>
      <c r="F29" s="15"/>
      <c r="G29" s="15">
        <v>84427268</v>
      </c>
      <c r="H29" s="15"/>
      <c r="I29" s="15"/>
      <c r="J29" s="15"/>
      <c r="K29" s="16"/>
    </row>
    <row r="30" spans="1:11" ht="16.5">
      <c r="A30" s="14">
        <v>1104404</v>
      </c>
      <c r="B30" s="14" t="s">
        <v>88</v>
      </c>
      <c r="C30" s="15">
        <v>467500</v>
      </c>
      <c r="D30" s="15">
        <v>0</v>
      </c>
      <c r="E30" s="15">
        <v>467500</v>
      </c>
      <c r="F30" s="15"/>
      <c r="G30" s="15">
        <v>467500</v>
      </c>
      <c r="H30" s="15"/>
      <c r="I30" s="15"/>
      <c r="J30" s="15"/>
      <c r="K30" s="16"/>
    </row>
    <row r="31" spans="1:11" ht="16.5">
      <c r="A31" s="14">
        <v>1104405</v>
      </c>
      <c r="B31" s="14" t="s">
        <v>89</v>
      </c>
      <c r="C31" s="15">
        <v>188187995</v>
      </c>
      <c r="D31" s="15">
        <v>176649982</v>
      </c>
      <c r="E31" s="15">
        <v>11538013</v>
      </c>
      <c r="F31" s="15"/>
      <c r="G31" s="15">
        <v>11538013</v>
      </c>
      <c r="H31" s="15"/>
      <c r="I31" s="15"/>
      <c r="J31" s="15"/>
      <c r="K31" s="16"/>
    </row>
    <row r="32" spans="1:11" ht="16.5">
      <c r="A32" s="14">
        <v>1106401</v>
      </c>
      <c r="B32" s="14" t="s">
        <v>25</v>
      </c>
      <c r="C32" s="15">
        <v>1809970170</v>
      </c>
      <c r="D32" s="15">
        <v>723742759</v>
      </c>
      <c r="E32" s="15">
        <v>1086227411</v>
      </c>
      <c r="F32" s="15"/>
      <c r="G32" s="15">
        <v>1086227411</v>
      </c>
      <c r="H32" s="15"/>
      <c r="I32" s="15"/>
      <c r="J32" s="15"/>
      <c r="K32" s="16"/>
    </row>
    <row r="33" spans="1:11" ht="16.5">
      <c r="A33" s="14">
        <v>1106802</v>
      </c>
      <c r="B33" s="14" t="s">
        <v>90</v>
      </c>
      <c r="C33" s="15">
        <v>960946062</v>
      </c>
      <c r="D33" s="15">
        <v>888556009</v>
      </c>
      <c r="E33" s="15">
        <v>72390053</v>
      </c>
      <c r="F33" s="15"/>
      <c r="G33" s="15">
        <v>72390053</v>
      </c>
      <c r="H33" s="15"/>
      <c r="I33" s="15"/>
      <c r="J33" s="15"/>
      <c r="K33" s="16"/>
    </row>
    <row r="34" spans="1:11" ht="16.5">
      <c r="A34" s="14">
        <v>1109101</v>
      </c>
      <c r="B34" s="14" t="s">
        <v>91</v>
      </c>
      <c r="C34" s="15">
        <v>1376913922</v>
      </c>
      <c r="D34" s="15">
        <v>1376913922</v>
      </c>
      <c r="E34" s="15"/>
      <c r="F34" s="15"/>
      <c r="G34" s="15"/>
      <c r="H34" s="15"/>
      <c r="I34" s="15"/>
      <c r="J34" s="15"/>
      <c r="K34" s="16"/>
    </row>
    <row r="35" spans="1:11" ht="16.5">
      <c r="A35" s="14">
        <v>1109103</v>
      </c>
      <c r="B35" s="14" t="s">
        <v>92</v>
      </c>
      <c r="C35" s="15">
        <v>156091273</v>
      </c>
      <c r="D35" s="15">
        <v>45133504</v>
      </c>
      <c r="E35" s="15">
        <v>110957769</v>
      </c>
      <c r="F35" s="15"/>
      <c r="G35" s="15">
        <v>110957769</v>
      </c>
      <c r="H35" s="15"/>
      <c r="I35" s="15"/>
      <c r="J35" s="15"/>
      <c r="K35" s="16"/>
    </row>
    <row r="36" spans="1:11" ht="16.5">
      <c r="A36" s="14">
        <v>1202101</v>
      </c>
      <c r="B36" s="14" t="s">
        <v>93</v>
      </c>
      <c r="C36" s="15">
        <v>113180701</v>
      </c>
      <c r="D36" s="15">
        <v>12385031</v>
      </c>
      <c r="E36" s="15">
        <v>100795670</v>
      </c>
      <c r="F36" s="15"/>
      <c r="G36" s="15">
        <v>100795670</v>
      </c>
      <c r="H36" s="15"/>
      <c r="I36" s="15"/>
      <c r="J36" s="15"/>
      <c r="K36" s="16"/>
    </row>
    <row r="37" spans="1:11" ht="16.5">
      <c r="A37" s="14">
        <v>1209401</v>
      </c>
      <c r="B37" s="14" t="s">
        <v>27</v>
      </c>
      <c r="C37" s="15">
        <v>320748277</v>
      </c>
      <c r="D37" s="15">
        <v>0</v>
      </c>
      <c r="E37" s="15">
        <v>320748277</v>
      </c>
      <c r="F37" s="15"/>
      <c r="G37" s="15">
        <v>320748277</v>
      </c>
      <c r="H37" s="15"/>
      <c r="I37" s="15"/>
      <c r="J37" s="15"/>
      <c r="K37" s="16"/>
    </row>
    <row r="38" spans="1:11" ht="16.5">
      <c r="A38" s="14">
        <v>1209402</v>
      </c>
      <c r="B38" s="14" t="s">
        <v>38</v>
      </c>
      <c r="C38" s="15">
        <v>46302483</v>
      </c>
      <c r="D38" s="15">
        <v>0</v>
      </c>
      <c r="E38" s="15">
        <v>46302483</v>
      </c>
      <c r="F38" s="15"/>
      <c r="G38" s="15">
        <v>46302483</v>
      </c>
      <c r="H38" s="15"/>
      <c r="I38" s="15"/>
      <c r="J38" s="15"/>
      <c r="K38" s="16"/>
    </row>
    <row r="39" spans="1:11" ht="16.5">
      <c r="A39" s="14">
        <v>1209904</v>
      </c>
      <c r="B39" s="14" t="s">
        <v>94</v>
      </c>
      <c r="C39" s="15">
        <v>0</v>
      </c>
      <c r="D39" s="15">
        <v>39334629</v>
      </c>
      <c r="E39" s="15"/>
      <c r="F39" s="15">
        <v>39334629</v>
      </c>
      <c r="G39" s="15"/>
      <c r="H39" s="15">
        <v>39334629</v>
      </c>
      <c r="I39" s="15"/>
      <c r="J39" s="15"/>
      <c r="K39" s="16"/>
    </row>
    <row r="40" spans="1:11" ht="16.5">
      <c r="A40" s="14">
        <v>1209905</v>
      </c>
      <c r="B40" s="14" t="s">
        <v>95</v>
      </c>
      <c r="C40" s="15">
        <v>0</v>
      </c>
      <c r="D40" s="15">
        <v>5034293</v>
      </c>
      <c r="E40" s="15"/>
      <c r="F40" s="15">
        <v>5034293</v>
      </c>
      <c r="G40" s="15"/>
      <c r="H40" s="15">
        <v>5034293</v>
      </c>
      <c r="I40" s="15"/>
      <c r="J40" s="15"/>
      <c r="K40" s="16"/>
    </row>
    <row r="41" spans="1:11" ht="16.5">
      <c r="A41" s="14">
        <v>2101203</v>
      </c>
      <c r="B41" s="14" t="s">
        <v>96</v>
      </c>
      <c r="C41" s="15">
        <v>54955117</v>
      </c>
      <c r="D41" s="15">
        <v>562835235</v>
      </c>
      <c r="E41" s="15"/>
      <c r="F41" s="15">
        <v>507880118</v>
      </c>
      <c r="G41" s="15"/>
      <c r="H41" s="15">
        <v>507880118</v>
      </c>
      <c r="I41" s="15"/>
      <c r="J41" s="15"/>
      <c r="K41" s="16"/>
    </row>
    <row r="42" spans="1:11" ht="16.5">
      <c r="A42" s="14">
        <v>2101601</v>
      </c>
      <c r="B42" s="14" t="s">
        <v>97</v>
      </c>
      <c r="C42" s="15">
        <v>3086725</v>
      </c>
      <c r="D42" s="15">
        <v>3304031</v>
      </c>
      <c r="E42" s="15"/>
      <c r="F42" s="15">
        <v>217306</v>
      </c>
      <c r="G42" s="15"/>
      <c r="H42" s="15">
        <v>217306</v>
      </c>
      <c r="I42" s="15"/>
      <c r="J42" s="15"/>
      <c r="K42" s="16"/>
    </row>
    <row r="43" spans="1:11" ht="16.5">
      <c r="A43" s="14">
        <v>2102102</v>
      </c>
      <c r="B43" s="14" t="s">
        <v>98</v>
      </c>
      <c r="C43" s="15">
        <v>3485517634</v>
      </c>
      <c r="D43" s="15">
        <v>6162706424</v>
      </c>
      <c r="E43" s="15"/>
      <c r="F43" s="15">
        <v>2677188790</v>
      </c>
      <c r="G43" s="15"/>
      <c r="H43" s="15">
        <v>2677188790</v>
      </c>
      <c r="I43" s="15"/>
      <c r="J43" s="15"/>
      <c r="K43" s="16"/>
    </row>
    <row r="44" spans="1:11" ht="16.5">
      <c r="A44" s="14">
        <v>2102103</v>
      </c>
      <c r="B44" s="14" t="s">
        <v>99</v>
      </c>
      <c r="C44" s="15">
        <v>1090055747</v>
      </c>
      <c r="D44" s="15">
        <v>1232236133</v>
      </c>
      <c r="E44" s="15"/>
      <c r="F44" s="15">
        <v>142180386</v>
      </c>
      <c r="G44" s="15"/>
      <c r="H44" s="15">
        <v>142180386</v>
      </c>
      <c r="I44" s="15"/>
      <c r="J44" s="15"/>
      <c r="K44" s="16"/>
    </row>
    <row r="45" spans="1:11" ht="16.5">
      <c r="A45" s="14">
        <v>2102401</v>
      </c>
      <c r="B45" s="14" t="s">
        <v>100</v>
      </c>
      <c r="C45" s="15">
        <v>15592823</v>
      </c>
      <c r="D45" s="15">
        <v>16680785</v>
      </c>
      <c r="E45" s="15"/>
      <c r="F45" s="15">
        <v>1087962</v>
      </c>
      <c r="G45" s="15"/>
      <c r="H45" s="15">
        <v>1087962</v>
      </c>
      <c r="I45" s="15"/>
      <c r="J45" s="15"/>
      <c r="K45" s="16"/>
    </row>
    <row r="46" spans="1:11" ht="16.5">
      <c r="A46" s="14">
        <v>2102503</v>
      </c>
      <c r="B46" s="14" t="s">
        <v>101</v>
      </c>
      <c r="C46" s="15">
        <v>63874346</v>
      </c>
      <c r="D46" s="15">
        <v>69471972</v>
      </c>
      <c r="E46" s="15"/>
      <c r="F46" s="15">
        <v>5597626</v>
      </c>
      <c r="G46" s="15"/>
      <c r="H46" s="15">
        <v>5597626</v>
      </c>
      <c r="I46" s="15"/>
      <c r="J46" s="15"/>
      <c r="K46" s="16"/>
    </row>
    <row r="47" spans="1:11" ht="16.5">
      <c r="A47" s="14">
        <v>2102604</v>
      </c>
      <c r="B47" s="14" t="s">
        <v>102</v>
      </c>
      <c r="C47" s="15">
        <v>6342212</v>
      </c>
      <c r="D47" s="15">
        <v>17117990</v>
      </c>
      <c r="E47" s="15"/>
      <c r="F47" s="15">
        <v>10775778</v>
      </c>
      <c r="G47" s="15"/>
      <c r="H47" s="15">
        <v>10775778</v>
      </c>
      <c r="I47" s="15"/>
      <c r="J47" s="15"/>
      <c r="K47" s="16"/>
    </row>
    <row r="48" spans="1:11" ht="16.5">
      <c r="A48" s="14">
        <v>2102605</v>
      </c>
      <c r="B48" s="14" t="s">
        <v>37</v>
      </c>
      <c r="C48" s="15">
        <v>309996837</v>
      </c>
      <c r="D48" s="15">
        <v>329179787</v>
      </c>
      <c r="E48" s="15"/>
      <c r="F48" s="15">
        <v>19182950</v>
      </c>
      <c r="G48" s="15"/>
      <c r="H48" s="15">
        <v>19182950</v>
      </c>
      <c r="I48" s="15"/>
      <c r="J48" s="15"/>
      <c r="K48" s="16"/>
    </row>
    <row r="49" spans="1:11" ht="16.5">
      <c r="A49" s="14">
        <v>2105101</v>
      </c>
      <c r="B49" s="14" t="s">
        <v>103</v>
      </c>
      <c r="C49" s="15">
        <v>9208595</v>
      </c>
      <c r="D49" s="15">
        <v>9208595</v>
      </c>
      <c r="E49" s="15"/>
      <c r="F49" s="15"/>
      <c r="G49" s="15"/>
      <c r="H49" s="15"/>
      <c r="I49" s="15"/>
      <c r="J49" s="15"/>
      <c r="K49" s="16"/>
    </row>
    <row r="50" spans="1:11" ht="16.5">
      <c r="A50" s="14">
        <v>2105102</v>
      </c>
      <c r="B50" s="14" t="s">
        <v>104</v>
      </c>
      <c r="C50" s="15">
        <v>2830302</v>
      </c>
      <c r="D50" s="15">
        <v>2830302</v>
      </c>
      <c r="E50" s="15"/>
      <c r="F50" s="15"/>
      <c r="G50" s="15"/>
      <c r="H50" s="15"/>
      <c r="I50" s="15"/>
      <c r="J50" s="15"/>
      <c r="K50" s="16"/>
    </row>
    <row r="51" spans="1:11" ht="16.5">
      <c r="A51" s="14">
        <v>2105103</v>
      </c>
      <c r="B51" s="14" t="s">
        <v>105</v>
      </c>
      <c r="C51" s="15">
        <v>271619906</v>
      </c>
      <c r="D51" s="15">
        <v>271619906</v>
      </c>
      <c r="E51" s="15"/>
      <c r="F51" s="15"/>
      <c r="G51" s="15"/>
      <c r="H51" s="15"/>
      <c r="I51" s="15"/>
      <c r="J51" s="15"/>
      <c r="K51" s="16"/>
    </row>
    <row r="52" spans="1:11" ht="16.5">
      <c r="A52" s="14">
        <v>2105106</v>
      </c>
      <c r="B52" s="14" t="s">
        <v>106</v>
      </c>
      <c r="C52" s="15">
        <v>11743205</v>
      </c>
      <c r="D52" s="15">
        <v>13075039</v>
      </c>
      <c r="E52" s="15"/>
      <c r="F52" s="15">
        <v>1331834</v>
      </c>
      <c r="G52" s="15"/>
      <c r="H52" s="15">
        <v>1331834</v>
      </c>
      <c r="I52" s="15"/>
      <c r="J52" s="15"/>
      <c r="K52" s="16"/>
    </row>
    <row r="53" spans="1:11" ht="16.5">
      <c r="A53" s="14">
        <v>2106103</v>
      </c>
      <c r="B53" s="14" t="s">
        <v>107</v>
      </c>
      <c r="C53" s="15">
        <v>210720338</v>
      </c>
      <c r="D53" s="15">
        <v>258068123</v>
      </c>
      <c r="E53" s="15"/>
      <c r="F53" s="15">
        <v>47347785</v>
      </c>
      <c r="G53" s="15"/>
      <c r="H53" s="15">
        <v>47347785</v>
      </c>
      <c r="I53" s="15"/>
      <c r="J53" s="15"/>
      <c r="K53" s="16"/>
    </row>
    <row r="54" spans="1:11" ht="16.5">
      <c r="A54" s="14">
        <v>2301101</v>
      </c>
      <c r="B54" s="14" t="s">
        <v>108</v>
      </c>
      <c r="C54" s="15">
        <v>0</v>
      </c>
      <c r="D54" s="15">
        <v>75000000</v>
      </c>
      <c r="E54" s="15"/>
      <c r="F54" s="15">
        <v>75000000</v>
      </c>
      <c r="G54" s="15"/>
      <c r="H54" s="15">
        <v>75000000</v>
      </c>
      <c r="I54" s="15"/>
      <c r="J54" s="15"/>
      <c r="K54" s="16"/>
    </row>
    <row r="55" spans="1:11" ht="16.5">
      <c r="A55" s="14">
        <v>2302101</v>
      </c>
      <c r="B55" s="14" t="s">
        <v>109</v>
      </c>
      <c r="C55" s="15">
        <v>3311025594</v>
      </c>
      <c r="D55" s="15">
        <v>2819461691</v>
      </c>
      <c r="E55" s="15">
        <v>491563903</v>
      </c>
      <c r="F55" s="15"/>
      <c r="G55" s="15">
        <v>491563903</v>
      </c>
      <c r="H55" s="15"/>
      <c r="I55" s="15"/>
      <c r="J55" s="15"/>
      <c r="K55" s="16"/>
    </row>
    <row r="56" spans="1:11" ht="16.5">
      <c r="A56" s="14">
        <v>3101101</v>
      </c>
      <c r="B56" s="14" t="s">
        <v>110</v>
      </c>
      <c r="C56" s="15">
        <v>354697</v>
      </c>
      <c r="D56" s="15">
        <v>1872869</v>
      </c>
      <c r="E56" s="15"/>
      <c r="F56" s="15">
        <v>1518172</v>
      </c>
      <c r="G56" s="15"/>
      <c r="H56" s="15"/>
      <c r="I56" s="15"/>
      <c r="J56" s="15">
        <v>1518172</v>
      </c>
      <c r="K56" s="16"/>
    </row>
    <row r="57" spans="1:11" ht="16.5">
      <c r="A57" s="14">
        <v>3101103</v>
      </c>
      <c r="B57" s="14" t="s">
        <v>111</v>
      </c>
      <c r="C57" s="15">
        <v>147458429</v>
      </c>
      <c r="D57" s="15">
        <v>1132310736</v>
      </c>
      <c r="E57" s="15"/>
      <c r="F57" s="15">
        <v>984852307</v>
      </c>
      <c r="G57" s="15"/>
      <c r="H57" s="15"/>
      <c r="I57" s="15"/>
      <c r="J57" s="15">
        <v>984852307</v>
      </c>
      <c r="K57" s="16"/>
    </row>
    <row r="58" spans="1:11" ht="16.5">
      <c r="A58" s="14">
        <v>3101104</v>
      </c>
      <c r="B58" s="14" t="s">
        <v>112</v>
      </c>
      <c r="C58" s="15">
        <v>0</v>
      </c>
      <c r="D58" s="15">
        <v>295249857</v>
      </c>
      <c r="E58" s="15"/>
      <c r="F58" s="15">
        <v>295249857</v>
      </c>
      <c r="G58" s="15"/>
      <c r="H58" s="15"/>
      <c r="I58" s="15"/>
      <c r="J58" s="15">
        <v>295249857</v>
      </c>
      <c r="K58" s="16"/>
    </row>
    <row r="59" spans="1:11" ht="16.5">
      <c r="A59" s="14">
        <v>3102101</v>
      </c>
      <c r="B59" s="14" t="s">
        <v>113</v>
      </c>
      <c r="C59" s="15">
        <v>722689286</v>
      </c>
      <c r="D59" s="15">
        <v>0</v>
      </c>
      <c r="E59" s="15">
        <v>722689286</v>
      </c>
      <c r="F59" s="15"/>
      <c r="G59" s="15"/>
      <c r="H59" s="15"/>
      <c r="I59" s="15">
        <v>722689286</v>
      </c>
      <c r="J59" s="15"/>
      <c r="K59" s="16"/>
    </row>
    <row r="60" spans="1:11" ht="16.5">
      <c r="A60" s="14">
        <v>3102102</v>
      </c>
      <c r="B60" s="14" t="s">
        <v>114</v>
      </c>
      <c r="C60" s="15">
        <v>16173194</v>
      </c>
      <c r="D60" s="15">
        <v>0</v>
      </c>
      <c r="E60" s="15">
        <v>16173194</v>
      </c>
      <c r="F60" s="15"/>
      <c r="G60" s="15"/>
      <c r="H60" s="15"/>
      <c r="I60" s="15">
        <v>16173194</v>
      </c>
      <c r="J60" s="15"/>
      <c r="K60" s="16"/>
    </row>
    <row r="61" spans="1:11" ht="16.5">
      <c r="A61" s="14">
        <v>3102103</v>
      </c>
      <c r="B61" s="14" t="s">
        <v>115</v>
      </c>
      <c r="C61" s="15">
        <v>2703884</v>
      </c>
      <c r="D61" s="15">
        <v>0</v>
      </c>
      <c r="E61" s="15">
        <v>2703884</v>
      </c>
      <c r="F61" s="15"/>
      <c r="G61" s="15"/>
      <c r="H61" s="15"/>
      <c r="I61" s="15">
        <v>2703884</v>
      </c>
      <c r="J61" s="15"/>
      <c r="K61" s="16"/>
    </row>
    <row r="62" spans="1:11" ht="16.5">
      <c r="A62" s="14">
        <v>3102104</v>
      </c>
      <c r="B62" s="14" t="s">
        <v>47</v>
      </c>
      <c r="C62" s="15">
        <v>26941374</v>
      </c>
      <c r="D62" s="15">
        <v>391940</v>
      </c>
      <c r="E62" s="15">
        <v>26549434</v>
      </c>
      <c r="F62" s="15"/>
      <c r="G62" s="15"/>
      <c r="H62" s="15"/>
      <c r="I62" s="15">
        <v>26549434</v>
      </c>
      <c r="J62" s="15"/>
      <c r="K62" s="16"/>
    </row>
    <row r="63" spans="1:11" ht="16.5">
      <c r="A63" s="14">
        <v>3102105</v>
      </c>
      <c r="B63" s="14" t="s">
        <v>50</v>
      </c>
      <c r="C63" s="15">
        <v>5383406</v>
      </c>
      <c r="D63" s="15">
        <v>0</v>
      </c>
      <c r="E63" s="15">
        <v>5383406</v>
      </c>
      <c r="F63" s="15"/>
      <c r="G63" s="15"/>
      <c r="H63" s="15"/>
      <c r="I63" s="15">
        <v>5383406</v>
      </c>
      <c r="J63" s="15"/>
      <c r="K63" s="16"/>
    </row>
    <row r="64" spans="1:11" ht="16.5">
      <c r="A64" s="14">
        <v>3102108</v>
      </c>
      <c r="B64" s="14" t="s">
        <v>49</v>
      </c>
      <c r="C64" s="15">
        <v>38760944</v>
      </c>
      <c r="D64" s="15">
        <v>822943</v>
      </c>
      <c r="E64" s="15">
        <v>37938001</v>
      </c>
      <c r="F64" s="15"/>
      <c r="G64" s="15"/>
      <c r="H64" s="15"/>
      <c r="I64" s="15">
        <v>37938001</v>
      </c>
      <c r="J64" s="15"/>
      <c r="K64" s="16"/>
    </row>
    <row r="65" spans="1:11" ht="16.5">
      <c r="A65" s="14">
        <v>3102113</v>
      </c>
      <c r="B65" s="14" t="s">
        <v>35</v>
      </c>
      <c r="C65" s="15">
        <v>16550115</v>
      </c>
      <c r="D65" s="15">
        <v>5</v>
      </c>
      <c r="E65" s="15">
        <v>16550110</v>
      </c>
      <c r="F65" s="15"/>
      <c r="G65" s="15"/>
      <c r="H65" s="15"/>
      <c r="I65" s="15">
        <v>16550110</v>
      </c>
      <c r="J65" s="15"/>
      <c r="K65" s="16"/>
    </row>
    <row r="66" spans="1:11" ht="16.5">
      <c r="A66" s="14">
        <v>3105101</v>
      </c>
      <c r="B66" s="14" t="s">
        <v>116</v>
      </c>
      <c r="C66" s="15">
        <v>135641932</v>
      </c>
      <c r="D66" s="15">
        <v>0</v>
      </c>
      <c r="E66" s="15">
        <v>135641932</v>
      </c>
      <c r="F66" s="15"/>
      <c r="G66" s="15"/>
      <c r="H66" s="15"/>
      <c r="I66" s="15">
        <v>135641932</v>
      </c>
      <c r="J66" s="15"/>
      <c r="K66" s="16"/>
    </row>
    <row r="67" spans="1:11" ht="16.5">
      <c r="A67" s="14">
        <v>3105103</v>
      </c>
      <c r="B67" s="14" t="s">
        <v>117</v>
      </c>
      <c r="C67" s="15">
        <v>3471262</v>
      </c>
      <c r="D67" s="15">
        <v>0</v>
      </c>
      <c r="E67" s="15">
        <v>3471262</v>
      </c>
      <c r="F67" s="15"/>
      <c r="G67" s="15"/>
      <c r="H67" s="15"/>
      <c r="I67" s="15">
        <v>3471262</v>
      </c>
      <c r="J67" s="15"/>
      <c r="K67" s="16"/>
    </row>
    <row r="68" spans="1:11" ht="16.5">
      <c r="A68" s="14">
        <v>3105104</v>
      </c>
      <c r="B68" s="14" t="s">
        <v>118</v>
      </c>
      <c r="C68" s="15">
        <v>18506288</v>
      </c>
      <c r="D68" s="15">
        <v>0</v>
      </c>
      <c r="E68" s="15">
        <v>18506288</v>
      </c>
      <c r="F68" s="15"/>
      <c r="G68" s="15"/>
      <c r="H68" s="15"/>
      <c r="I68" s="15">
        <v>18506288</v>
      </c>
      <c r="J68" s="15"/>
      <c r="K68" s="16"/>
    </row>
    <row r="69" spans="1:11" ht="16.5">
      <c r="A69" s="14">
        <v>3105107</v>
      </c>
      <c r="B69" s="14" t="s">
        <v>119</v>
      </c>
      <c r="C69" s="15">
        <v>8998244</v>
      </c>
      <c r="D69" s="15">
        <v>334991</v>
      </c>
      <c r="E69" s="15">
        <v>8663253</v>
      </c>
      <c r="F69" s="15"/>
      <c r="G69" s="15"/>
      <c r="H69" s="15"/>
      <c r="I69" s="15">
        <v>8663253</v>
      </c>
      <c r="J69" s="15"/>
      <c r="K69" s="16"/>
    </row>
    <row r="70" spans="1:11" ht="16.5">
      <c r="A70" s="14">
        <v>3105108</v>
      </c>
      <c r="B70" s="14" t="s">
        <v>120</v>
      </c>
      <c r="C70" s="15">
        <v>6174000</v>
      </c>
      <c r="D70" s="15">
        <v>0</v>
      </c>
      <c r="E70" s="15">
        <v>6174000</v>
      </c>
      <c r="F70" s="15"/>
      <c r="G70" s="15"/>
      <c r="H70" s="15"/>
      <c r="I70" s="15">
        <v>6174000</v>
      </c>
      <c r="J70" s="15"/>
      <c r="K70" s="16"/>
    </row>
    <row r="71" spans="1:11" ht="16.5">
      <c r="A71" s="14">
        <v>3105109</v>
      </c>
      <c r="B71" s="14" t="s">
        <v>121</v>
      </c>
      <c r="C71" s="15">
        <v>6174000</v>
      </c>
      <c r="D71" s="15">
        <v>0</v>
      </c>
      <c r="E71" s="15">
        <v>6174000</v>
      </c>
      <c r="F71" s="15"/>
      <c r="G71" s="15"/>
      <c r="H71" s="15"/>
      <c r="I71" s="15">
        <v>6174000</v>
      </c>
      <c r="J71" s="15"/>
      <c r="K71" s="16"/>
    </row>
    <row r="72" spans="1:11" ht="16.5">
      <c r="A72" s="14">
        <v>3105110</v>
      </c>
      <c r="B72" s="14" t="s">
        <v>122</v>
      </c>
      <c r="C72" s="15">
        <v>1253690</v>
      </c>
      <c r="D72" s="15">
        <v>0</v>
      </c>
      <c r="E72" s="15">
        <v>1253690</v>
      </c>
      <c r="F72" s="15"/>
      <c r="G72" s="15"/>
      <c r="H72" s="15"/>
      <c r="I72" s="15">
        <v>1253690</v>
      </c>
      <c r="J72" s="15"/>
      <c r="K72" s="16"/>
    </row>
    <row r="73" spans="1:11" ht="16.5">
      <c r="A73" s="14">
        <v>3105111</v>
      </c>
      <c r="B73" s="14" t="s">
        <v>123</v>
      </c>
      <c r="C73" s="15">
        <v>2150608</v>
      </c>
      <c r="D73" s="15">
        <v>0</v>
      </c>
      <c r="E73" s="15">
        <v>2150608</v>
      </c>
      <c r="F73" s="15"/>
      <c r="G73" s="15"/>
      <c r="H73" s="15"/>
      <c r="I73" s="15">
        <v>2150608</v>
      </c>
      <c r="J73" s="15"/>
      <c r="K73" s="16"/>
    </row>
    <row r="74" spans="1:11" ht="16.5">
      <c r="A74" s="14">
        <v>3105114</v>
      </c>
      <c r="B74" s="14" t="s">
        <v>124</v>
      </c>
      <c r="C74" s="15">
        <v>1520514</v>
      </c>
      <c r="D74" s="15">
        <v>0</v>
      </c>
      <c r="E74" s="15">
        <v>1520514</v>
      </c>
      <c r="F74" s="15"/>
      <c r="G74" s="15"/>
      <c r="H74" s="15"/>
      <c r="I74" s="15">
        <v>1520514</v>
      </c>
      <c r="J74" s="15"/>
      <c r="K74" s="16"/>
    </row>
    <row r="75" spans="1:11" ht="16.5">
      <c r="A75" s="14">
        <v>3105116</v>
      </c>
      <c r="B75" s="14" t="s">
        <v>23</v>
      </c>
      <c r="C75" s="15">
        <v>5971069</v>
      </c>
      <c r="D75" s="15">
        <v>22680</v>
      </c>
      <c r="E75" s="15">
        <v>5948389</v>
      </c>
      <c r="F75" s="15"/>
      <c r="G75" s="15"/>
      <c r="H75" s="15"/>
      <c r="I75" s="15">
        <v>5948389</v>
      </c>
      <c r="J75" s="15"/>
      <c r="K75" s="16"/>
    </row>
    <row r="76" spans="1:11" ht="16.5">
      <c r="A76" s="14">
        <v>3105119</v>
      </c>
      <c r="B76" s="14" t="s">
        <v>125</v>
      </c>
      <c r="C76" s="15">
        <v>1115408</v>
      </c>
      <c r="D76" s="15">
        <v>0</v>
      </c>
      <c r="E76" s="15">
        <v>1115408</v>
      </c>
      <c r="F76" s="15"/>
      <c r="G76" s="15"/>
      <c r="H76" s="15"/>
      <c r="I76" s="15">
        <v>1115408</v>
      </c>
      <c r="J76" s="15"/>
      <c r="K76" s="16"/>
    </row>
    <row r="77" spans="1:11" ht="16.5">
      <c r="A77" s="14">
        <v>3105121</v>
      </c>
      <c r="B77" s="14" t="s">
        <v>126</v>
      </c>
      <c r="C77" s="15">
        <v>2882785</v>
      </c>
      <c r="D77" s="15">
        <v>0</v>
      </c>
      <c r="E77" s="15">
        <v>2882785</v>
      </c>
      <c r="F77" s="15"/>
      <c r="G77" s="15"/>
      <c r="H77" s="15"/>
      <c r="I77" s="15">
        <v>2882785</v>
      </c>
      <c r="J77" s="15"/>
      <c r="K77" s="16"/>
    </row>
    <row r="78" spans="1:11" ht="16.5">
      <c r="A78" s="14">
        <v>3105122</v>
      </c>
      <c r="B78" s="14" t="s">
        <v>127</v>
      </c>
      <c r="C78" s="15">
        <v>11835471</v>
      </c>
      <c r="D78" s="15">
        <v>0</v>
      </c>
      <c r="E78" s="15">
        <v>11835471</v>
      </c>
      <c r="F78" s="15"/>
      <c r="G78" s="15"/>
      <c r="H78" s="15"/>
      <c r="I78" s="15">
        <v>11835471</v>
      </c>
      <c r="J78" s="15"/>
      <c r="K78" s="16"/>
    </row>
    <row r="79" spans="1:11" ht="16.5">
      <c r="A79" s="14">
        <v>3105124</v>
      </c>
      <c r="B79" s="14" t="s">
        <v>128</v>
      </c>
      <c r="C79" s="15">
        <v>57768054</v>
      </c>
      <c r="D79" s="15">
        <v>0</v>
      </c>
      <c r="E79" s="15">
        <v>57768054</v>
      </c>
      <c r="F79" s="15"/>
      <c r="G79" s="15"/>
      <c r="H79" s="15"/>
      <c r="I79" s="15">
        <v>57768054</v>
      </c>
      <c r="J79" s="15"/>
      <c r="K79" s="16"/>
    </row>
    <row r="80" spans="1:11" ht="16.5">
      <c r="A80" s="14">
        <v>3105125</v>
      </c>
      <c r="B80" s="14" t="s">
        <v>129</v>
      </c>
      <c r="C80" s="15">
        <v>17993038</v>
      </c>
      <c r="D80" s="15">
        <v>0</v>
      </c>
      <c r="E80" s="15">
        <v>17993038</v>
      </c>
      <c r="F80" s="15"/>
      <c r="G80" s="15"/>
      <c r="H80" s="15"/>
      <c r="I80" s="15">
        <v>17993038</v>
      </c>
      <c r="J80" s="15"/>
      <c r="K80" s="16"/>
    </row>
    <row r="81" spans="1:11" ht="16.5">
      <c r="A81" s="14">
        <v>3105126</v>
      </c>
      <c r="B81" s="14" t="s">
        <v>130</v>
      </c>
      <c r="C81" s="15">
        <v>1803412</v>
      </c>
      <c r="D81" s="15">
        <v>0</v>
      </c>
      <c r="E81" s="15">
        <v>1803412</v>
      </c>
      <c r="F81" s="15"/>
      <c r="G81" s="15"/>
      <c r="H81" s="15"/>
      <c r="I81" s="15">
        <v>1803412</v>
      </c>
      <c r="J81" s="15"/>
      <c r="K81" s="16"/>
    </row>
    <row r="82" spans="1:11" ht="16.5">
      <c r="A82" s="14">
        <v>3105127</v>
      </c>
      <c r="B82" s="14" t="s">
        <v>131</v>
      </c>
      <c r="C82" s="15">
        <v>8370430</v>
      </c>
      <c r="D82" s="15">
        <v>0</v>
      </c>
      <c r="E82" s="15">
        <v>8370430</v>
      </c>
      <c r="F82" s="15"/>
      <c r="G82" s="15"/>
      <c r="H82" s="15"/>
      <c r="I82" s="15">
        <v>8370430</v>
      </c>
      <c r="J82" s="15"/>
      <c r="K82" s="16"/>
    </row>
    <row r="83" spans="1:11" ht="16.5">
      <c r="A83" s="14">
        <v>3105128</v>
      </c>
      <c r="B83" s="14" t="s">
        <v>132</v>
      </c>
      <c r="C83" s="15">
        <v>2573607</v>
      </c>
      <c r="D83" s="15">
        <v>0</v>
      </c>
      <c r="E83" s="15">
        <v>2573607</v>
      </c>
      <c r="F83" s="15"/>
      <c r="G83" s="15"/>
      <c r="H83" s="15"/>
      <c r="I83" s="15">
        <v>2573607</v>
      </c>
      <c r="J83" s="15"/>
      <c r="K83" s="16"/>
    </row>
    <row r="84" spans="1:11" ht="16.5">
      <c r="A84" s="14">
        <v>3105129</v>
      </c>
      <c r="B84" s="14" t="s">
        <v>133</v>
      </c>
      <c r="C84" s="15">
        <v>3592478</v>
      </c>
      <c r="D84" s="15">
        <v>0</v>
      </c>
      <c r="E84" s="15">
        <v>3592478</v>
      </c>
      <c r="F84" s="15"/>
      <c r="G84" s="15"/>
      <c r="H84" s="15"/>
      <c r="I84" s="15">
        <v>3592478</v>
      </c>
      <c r="J84" s="15"/>
      <c r="K84" s="16"/>
    </row>
    <row r="85" spans="1:11" ht="16.5">
      <c r="A85" s="14">
        <v>3105130</v>
      </c>
      <c r="B85" s="14" t="s">
        <v>134</v>
      </c>
      <c r="C85" s="15">
        <v>3575466</v>
      </c>
      <c r="D85" s="15">
        <v>0</v>
      </c>
      <c r="E85" s="15">
        <v>3575466</v>
      </c>
      <c r="F85" s="15"/>
      <c r="G85" s="15"/>
      <c r="H85" s="15"/>
      <c r="I85" s="15">
        <v>3575466</v>
      </c>
      <c r="J85" s="15"/>
      <c r="K85" s="16"/>
    </row>
    <row r="86" spans="1:11" ht="16.5">
      <c r="A86" s="14">
        <v>3105131</v>
      </c>
      <c r="B86" s="14" t="s">
        <v>135</v>
      </c>
      <c r="C86" s="15">
        <v>3575466</v>
      </c>
      <c r="D86" s="15">
        <v>0</v>
      </c>
      <c r="E86" s="15">
        <v>3575466</v>
      </c>
      <c r="F86" s="15"/>
      <c r="G86" s="15"/>
      <c r="H86" s="15"/>
      <c r="I86" s="15">
        <v>3575466</v>
      </c>
      <c r="J86" s="15"/>
      <c r="K86" s="16"/>
    </row>
    <row r="87" spans="1:11" ht="16.5">
      <c r="A87" s="14">
        <v>3105132</v>
      </c>
      <c r="B87" s="14" t="s">
        <v>136</v>
      </c>
      <c r="C87" s="15">
        <v>2585001</v>
      </c>
      <c r="D87" s="15">
        <v>0</v>
      </c>
      <c r="E87" s="15">
        <v>2585001</v>
      </c>
      <c r="F87" s="15"/>
      <c r="G87" s="15"/>
      <c r="H87" s="15"/>
      <c r="I87" s="15">
        <v>2585001</v>
      </c>
      <c r="J87" s="15"/>
      <c r="K87" s="16"/>
    </row>
    <row r="88" spans="1:11" ht="16.5">
      <c r="A88" s="14">
        <v>3105133</v>
      </c>
      <c r="B88" s="14" t="s">
        <v>137</v>
      </c>
      <c r="C88" s="15">
        <v>858158</v>
      </c>
      <c r="D88" s="15">
        <v>0</v>
      </c>
      <c r="E88" s="15">
        <v>858158</v>
      </c>
      <c r="F88" s="15"/>
      <c r="G88" s="15"/>
      <c r="H88" s="15"/>
      <c r="I88" s="15">
        <v>858158</v>
      </c>
      <c r="J88" s="15"/>
      <c r="K88" s="16"/>
    </row>
    <row r="89" spans="1:11" ht="16.5">
      <c r="A89" s="14">
        <v>3105134</v>
      </c>
      <c r="B89" s="14" t="s">
        <v>138</v>
      </c>
      <c r="C89" s="15">
        <v>1539730</v>
      </c>
      <c r="D89" s="15">
        <v>0</v>
      </c>
      <c r="E89" s="15">
        <v>1539730</v>
      </c>
      <c r="F89" s="15"/>
      <c r="G89" s="15"/>
      <c r="H89" s="15"/>
      <c r="I89" s="15">
        <v>1539730</v>
      </c>
      <c r="J89" s="15"/>
      <c r="K89" s="16"/>
    </row>
    <row r="90" spans="1:11" ht="16.5">
      <c r="A90" s="14">
        <v>3105201</v>
      </c>
      <c r="B90" s="14" t="s">
        <v>26</v>
      </c>
      <c r="C90" s="15">
        <v>6906705</v>
      </c>
      <c r="D90" s="15">
        <v>550000</v>
      </c>
      <c r="E90" s="15">
        <v>6356705</v>
      </c>
      <c r="F90" s="15"/>
      <c r="G90" s="15"/>
      <c r="H90" s="15"/>
      <c r="I90" s="15">
        <v>6356705</v>
      </c>
      <c r="J90" s="15"/>
      <c r="K90" s="16"/>
    </row>
    <row r="91" spans="1:11" ht="16.5">
      <c r="A91" s="14">
        <v>3105206</v>
      </c>
      <c r="B91" s="14" t="s">
        <v>29</v>
      </c>
      <c r="C91" s="15">
        <v>16394926</v>
      </c>
      <c r="D91" s="15">
        <v>3331749</v>
      </c>
      <c r="E91" s="15">
        <v>13063177</v>
      </c>
      <c r="F91" s="15"/>
      <c r="G91" s="15"/>
      <c r="H91" s="15"/>
      <c r="I91" s="15">
        <v>13063177</v>
      </c>
      <c r="J91" s="15"/>
      <c r="K91" s="16"/>
    </row>
    <row r="92" spans="1:11" ht="16.5">
      <c r="A92" s="14">
        <v>3105209</v>
      </c>
      <c r="B92" s="14" t="s">
        <v>22</v>
      </c>
      <c r="C92" s="15">
        <v>17074526</v>
      </c>
      <c r="D92" s="15">
        <v>12796215</v>
      </c>
      <c r="E92" s="15">
        <v>4278311</v>
      </c>
      <c r="F92" s="15"/>
      <c r="G92" s="15"/>
      <c r="H92" s="15"/>
      <c r="I92" s="15">
        <v>4278311</v>
      </c>
      <c r="J92" s="15"/>
      <c r="K92" s="16"/>
    </row>
    <row r="93" spans="1:11" ht="16.5">
      <c r="A93" s="14">
        <v>3105210</v>
      </c>
      <c r="B93" s="14" t="s">
        <v>139</v>
      </c>
      <c r="C93" s="15">
        <v>17876655</v>
      </c>
      <c r="D93" s="15">
        <v>2085813</v>
      </c>
      <c r="E93" s="15">
        <v>15790842</v>
      </c>
      <c r="F93" s="15"/>
      <c r="G93" s="15"/>
      <c r="H93" s="15"/>
      <c r="I93" s="15">
        <v>15790842</v>
      </c>
      <c r="J93" s="15"/>
      <c r="K93" s="16"/>
    </row>
    <row r="94" spans="1:11" ht="16.5">
      <c r="A94" s="14">
        <v>3105301</v>
      </c>
      <c r="B94" s="14" t="s">
        <v>21</v>
      </c>
      <c r="C94" s="15">
        <v>257668656</v>
      </c>
      <c r="D94" s="15">
        <v>23517376</v>
      </c>
      <c r="E94" s="15">
        <v>234151280</v>
      </c>
      <c r="F94" s="15"/>
      <c r="G94" s="15"/>
      <c r="H94" s="15"/>
      <c r="I94" s="15">
        <v>234151280</v>
      </c>
      <c r="J94" s="15"/>
      <c r="K94" s="16"/>
    </row>
    <row r="95" spans="1:11" ht="16.5">
      <c r="A95" s="14">
        <v>3105302</v>
      </c>
      <c r="B95" s="14" t="s">
        <v>19</v>
      </c>
      <c r="C95" s="15">
        <v>14949963</v>
      </c>
      <c r="D95" s="15">
        <v>2062510</v>
      </c>
      <c r="E95" s="15">
        <v>12887453</v>
      </c>
      <c r="F95" s="15"/>
      <c r="G95" s="15"/>
      <c r="H95" s="15"/>
      <c r="I95" s="15">
        <v>12887453</v>
      </c>
      <c r="J95" s="15"/>
      <c r="K95" s="16"/>
    </row>
    <row r="96" spans="1:11" ht="16.5">
      <c r="A96" s="14">
        <v>3105303</v>
      </c>
      <c r="B96" s="14" t="s">
        <v>48</v>
      </c>
      <c r="C96" s="15">
        <v>552596</v>
      </c>
      <c r="D96" s="15">
        <v>0</v>
      </c>
      <c r="E96" s="15">
        <v>552596</v>
      </c>
      <c r="F96" s="15"/>
      <c r="G96" s="15"/>
      <c r="H96" s="15"/>
      <c r="I96" s="15">
        <v>552596</v>
      </c>
      <c r="J96" s="15"/>
      <c r="K96" s="16"/>
    </row>
    <row r="97" spans="1:11" ht="16.5">
      <c r="A97" s="14">
        <v>3105401</v>
      </c>
      <c r="B97" s="14" t="s">
        <v>17</v>
      </c>
      <c r="C97" s="15">
        <v>17679275</v>
      </c>
      <c r="D97" s="15">
        <v>6548148</v>
      </c>
      <c r="E97" s="15">
        <v>11131127</v>
      </c>
      <c r="F97" s="15"/>
      <c r="G97" s="15"/>
      <c r="H97" s="15"/>
      <c r="I97" s="15">
        <v>11131127</v>
      </c>
      <c r="J97" s="15"/>
      <c r="K97" s="16"/>
    </row>
    <row r="98" spans="1:11" ht="16.5">
      <c r="A98" s="14">
        <v>3105403</v>
      </c>
      <c r="B98" s="14" t="s">
        <v>51</v>
      </c>
      <c r="C98" s="15">
        <v>7224724</v>
      </c>
      <c r="D98" s="15">
        <v>3078599</v>
      </c>
      <c r="E98" s="15">
        <v>4146125</v>
      </c>
      <c r="F98" s="15"/>
      <c r="G98" s="15"/>
      <c r="H98" s="15"/>
      <c r="I98" s="15">
        <v>4146125</v>
      </c>
      <c r="J98" s="15"/>
      <c r="K98" s="16"/>
    </row>
    <row r="99" spans="1:11" ht="16.5">
      <c r="A99" s="14">
        <v>3105406</v>
      </c>
      <c r="B99" s="14" t="s">
        <v>18</v>
      </c>
      <c r="C99" s="15">
        <v>424170</v>
      </c>
      <c r="D99" s="15">
        <v>0</v>
      </c>
      <c r="E99" s="15">
        <v>424170</v>
      </c>
      <c r="F99" s="15"/>
      <c r="G99" s="15"/>
      <c r="H99" s="15"/>
      <c r="I99" s="15">
        <v>424170</v>
      </c>
      <c r="J99" s="15"/>
      <c r="K99" s="16"/>
    </row>
    <row r="100" spans="1:11" ht="16.5">
      <c r="A100" s="14">
        <v>3105501</v>
      </c>
      <c r="B100" s="14" t="s">
        <v>140</v>
      </c>
      <c r="C100" s="15">
        <v>418926</v>
      </c>
      <c r="D100" s="15">
        <v>0</v>
      </c>
      <c r="E100" s="15">
        <v>418926</v>
      </c>
      <c r="F100" s="15"/>
      <c r="G100" s="15"/>
      <c r="H100" s="15"/>
      <c r="I100" s="15">
        <v>418926</v>
      </c>
      <c r="J100" s="15"/>
      <c r="K100" s="16"/>
    </row>
    <row r="101" spans="1:11" ht="16.5">
      <c r="A101" s="14">
        <v>3105506</v>
      </c>
      <c r="B101" s="14" t="s">
        <v>28</v>
      </c>
      <c r="C101" s="15">
        <v>3004099</v>
      </c>
      <c r="D101" s="15">
        <v>0</v>
      </c>
      <c r="E101" s="15">
        <v>3004099</v>
      </c>
      <c r="F101" s="15"/>
      <c r="G101" s="15"/>
      <c r="H101" s="15"/>
      <c r="I101" s="15">
        <v>3004099</v>
      </c>
      <c r="J101" s="15"/>
      <c r="K101" s="16"/>
    </row>
    <row r="102" spans="1:11" ht="16.5">
      <c r="A102" s="14">
        <v>3105601</v>
      </c>
      <c r="B102" s="14" t="s">
        <v>45</v>
      </c>
      <c r="C102" s="15">
        <v>7507709</v>
      </c>
      <c r="D102" s="15">
        <v>1275025</v>
      </c>
      <c r="E102" s="15">
        <v>6232684</v>
      </c>
      <c r="F102" s="15"/>
      <c r="G102" s="15"/>
      <c r="H102" s="15"/>
      <c r="I102" s="15">
        <v>6232684</v>
      </c>
      <c r="J102" s="15"/>
      <c r="K102" s="16"/>
    </row>
    <row r="103" spans="1:11" ht="16.5">
      <c r="A103" s="14">
        <v>3105701</v>
      </c>
      <c r="B103" s="14" t="s">
        <v>141</v>
      </c>
      <c r="C103" s="15">
        <v>16040270</v>
      </c>
      <c r="D103" s="15">
        <v>0</v>
      </c>
      <c r="E103" s="15">
        <v>16040270</v>
      </c>
      <c r="F103" s="15"/>
      <c r="G103" s="15"/>
      <c r="H103" s="15"/>
      <c r="I103" s="15">
        <v>16040270</v>
      </c>
      <c r="J103" s="15"/>
      <c r="K103" s="16"/>
    </row>
    <row r="104" spans="1:11" ht="16.5">
      <c r="A104" s="14">
        <v>3105801</v>
      </c>
      <c r="B104" s="14" t="s">
        <v>30</v>
      </c>
      <c r="C104" s="15">
        <v>5526011</v>
      </c>
      <c r="D104" s="15">
        <v>0</v>
      </c>
      <c r="E104" s="15">
        <v>5526011</v>
      </c>
      <c r="F104" s="15"/>
      <c r="G104" s="15"/>
      <c r="H104" s="15"/>
      <c r="I104" s="15">
        <v>5526011</v>
      </c>
      <c r="J104" s="15"/>
      <c r="K104" s="16"/>
    </row>
    <row r="105" spans="1:11" ht="16.5">
      <c r="A105" s="14">
        <v>3105802</v>
      </c>
      <c r="B105" s="14" t="s">
        <v>142</v>
      </c>
      <c r="C105" s="15">
        <v>630259</v>
      </c>
      <c r="D105" s="15">
        <v>0</v>
      </c>
      <c r="E105" s="15">
        <v>630259</v>
      </c>
      <c r="F105" s="15"/>
      <c r="G105" s="15"/>
      <c r="H105" s="15"/>
      <c r="I105" s="15">
        <v>630259</v>
      </c>
      <c r="J105" s="15"/>
      <c r="K105" s="16"/>
    </row>
    <row r="106" spans="1:11" ht="16.5">
      <c r="A106" s="14">
        <v>3105803</v>
      </c>
      <c r="B106" s="14" t="s">
        <v>20</v>
      </c>
      <c r="C106" s="15">
        <v>2581849</v>
      </c>
      <c r="D106" s="15">
        <v>4242</v>
      </c>
      <c r="E106" s="15">
        <v>2577607</v>
      </c>
      <c r="F106" s="15"/>
      <c r="G106" s="15"/>
      <c r="H106" s="15"/>
      <c r="I106" s="15">
        <v>2577607</v>
      </c>
      <c r="J106" s="15"/>
      <c r="K106" s="16"/>
    </row>
    <row r="107" spans="1:11" ht="16.5">
      <c r="A107" s="14">
        <v>3105805</v>
      </c>
      <c r="B107" s="14" t="s">
        <v>143</v>
      </c>
      <c r="C107" s="15">
        <v>539567</v>
      </c>
      <c r="D107" s="15">
        <v>0</v>
      </c>
      <c r="E107" s="15">
        <v>539567</v>
      </c>
      <c r="F107" s="15"/>
      <c r="G107" s="15"/>
      <c r="H107" s="15"/>
      <c r="I107" s="15">
        <v>539567</v>
      </c>
      <c r="J107" s="15"/>
      <c r="K107" s="16"/>
    </row>
    <row r="108" spans="1:11" ht="16.5">
      <c r="A108" s="14">
        <v>3105806</v>
      </c>
      <c r="B108" s="14" t="s">
        <v>36</v>
      </c>
      <c r="C108" s="15">
        <v>87618730</v>
      </c>
      <c r="D108" s="15">
        <v>86975061</v>
      </c>
      <c r="E108" s="15">
        <v>643669</v>
      </c>
      <c r="F108" s="15"/>
      <c r="G108" s="15"/>
      <c r="H108" s="15"/>
      <c r="I108" s="15">
        <v>643669</v>
      </c>
      <c r="J108" s="15"/>
      <c r="K108" s="16"/>
    </row>
    <row r="109" spans="1:11" ht="16.5">
      <c r="A109" s="14">
        <v>3105809</v>
      </c>
      <c r="B109" s="14" t="s">
        <v>144</v>
      </c>
      <c r="C109" s="15">
        <v>1281839</v>
      </c>
      <c r="D109" s="15">
        <v>0</v>
      </c>
      <c r="E109" s="15">
        <v>1281839</v>
      </c>
      <c r="F109" s="15"/>
      <c r="G109" s="15"/>
      <c r="H109" s="15"/>
      <c r="I109" s="15">
        <v>1281839</v>
      </c>
      <c r="J109" s="15"/>
      <c r="K109" s="16"/>
    </row>
    <row r="110" spans="1:11" ht="16.5">
      <c r="A110" s="14">
        <v>3105812</v>
      </c>
      <c r="B110" s="14" t="s">
        <v>145</v>
      </c>
      <c r="C110" s="15">
        <v>15156867</v>
      </c>
      <c r="D110" s="15">
        <v>207222</v>
      </c>
      <c r="E110" s="15">
        <v>14949645</v>
      </c>
      <c r="F110" s="15"/>
      <c r="G110" s="15"/>
      <c r="H110" s="15"/>
      <c r="I110" s="15">
        <v>14949645</v>
      </c>
      <c r="J110" s="15"/>
      <c r="K110" s="16"/>
    </row>
    <row r="111" spans="1:11" ht="16.5">
      <c r="A111" s="14">
        <v>3105815</v>
      </c>
      <c r="B111" s="14" t="s">
        <v>146</v>
      </c>
      <c r="C111" s="15">
        <v>2327466</v>
      </c>
      <c r="D111" s="15">
        <v>0</v>
      </c>
      <c r="E111" s="15">
        <v>2327466</v>
      </c>
      <c r="F111" s="15"/>
      <c r="G111" s="15"/>
      <c r="H111" s="15"/>
      <c r="I111" s="15">
        <v>2327466</v>
      </c>
      <c r="J111" s="15"/>
      <c r="K111" s="16"/>
    </row>
    <row r="112" spans="1:11" ht="16.5">
      <c r="A112" s="14">
        <v>3105817</v>
      </c>
      <c r="B112" s="14" t="s">
        <v>147</v>
      </c>
      <c r="C112" s="15">
        <v>3008160</v>
      </c>
      <c r="D112" s="15">
        <v>0</v>
      </c>
      <c r="E112" s="15">
        <v>3008160</v>
      </c>
      <c r="F112" s="15"/>
      <c r="G112" s="15"/>
      <c r="H112" s="15"/>
      <c r="I112" s="15">
        <v>3008160</v>
      </c>
      <c r="J112" s="15"/>
      <c r="K112" s="16"/>
    </row>
    <row r="113" spans="1:11" ht="16.5">
      <c r="A113" s="14">
        <v>3105822</v>
      </c>
      <c r="B113" s="14" t="s">
        <v>44</v>
      </c>
      <c r="C113" s="15">
        <v>19027810</v>
      </c>
      <c r="D113" s="15">
        <v>2124150</v>
      </c>
      <c r="E113" s="15">
        <v>16903660</v>
      </c>
      <c r="F113" s="15"/>
      <c r="G113" s="15"/>
      <c r="H113" s="15"/>
      <c r="I113" s="15">
        <v>16903660</v>
      </c>
      <c r="J113" s="15"/>
      <c r="K113" s="16"/>
    </row>
    <row r="114" spans="1:11" ht="16.5">
      <c r="A114" s="14">
        <v>3105830</v>
      </c>
      <c r="B114" s="14" t="s">
        <v>148</v>
      </c>
      <c r="C114" s="15">
        <v>6187</v>
      </c>
      <c r="D114" s="15">
        <v>538712</v>
      </c>
      <c r="E114" s="15"/>
      <c r="F114" s="15">
        <v>532525</v>
      </c>
      <c r="G114" s="15"/>
      <c r="H114" s="15"/>
      <c r="I114" s="15"/>
      <c r="J114" s="15">
        <v>532525</v>
      </c>
      <c r="K114" s="16"/>
    </row>
    <row r="115" spans="1:11" ht="16.5">
      <c r="A115" s="14">
        <v>3105831</v>
      </c>
      <c r="B115" s="14" t="s">
        <v>46</v>
      </c>
      <c r="C115" s="15">
        <v>546880</v>
      </c>
      <c r="D115" s="15">
        <v>193172</v>
      </c>
      <c r="E115" s="15">
        <v>353708</v>
      </c>
      <c r="F115" s="15"/>
      <c r="G115" s="15"/>
      <c r="H115" s="15"/>
      <c r="I115" s="15">
        <v>353708</v>
      </c>
      <c r="J115" s="15"/>
      <c r="K115" s="16"/>
    </row>
    <row r="116" spans="1:11" ht="16.5">
      <c r="A116" s="14">
        <v>3105833</v>
      </c>
      <c r="B116" s="14" t="s">
        <v>24</v>
      </c>
      <c r="C116" s="15">
        <v>9291718</v>
      </c>
      <c r="D116" s="15">
        <v>1118980</v>
      </c>
      <c r="E116" s="15">
        <v>8172738</v>
      </c>
      <c r="F116" s="15"/>
      <c r="G116" s="15"/>
      <c r="H116" s="15"/>
      <c r="I116" s="15">
        <v>8172738</v>
      </c>
      <c r="J116" s="15"/>
      <c r="K116" s="16"/>
    </row>
    <row r="117" spans="1:11" ht="16.5">
      <c r="A117" s="14">
        <v>3108116</v>
      </c>
      <c r="B117" s="14" t="s">
        <v>149</v>
      </c>
      <c r="C117" s="15">
        <v>0</v>
      </c>
      <c r="D117" s="15">
        <v>170016</v>
      </c>
      <c r="E117" s="15"/>
      <c r="F117" s="15">
        <v>170016</v>
      </c>
      <c r="G117" s="15"/>
      <c r="H117" s="15"/>
      <c r="I117" s="15"/>
      <c r="J117" s="15">
        <v>170016</v>
      </c>
      <c r="K117" s="16"/>
    </row>
    <row r="118" spans="1:11" ht="16.5">
      <c r="A118" s="14">
        <v>3109105</v>
      </c>
      <c r="B118" s="14" t="s">
        <v>150</v>
      </c>
      <c r="C118" s="15">
        <v>26717631</v>
      </c>
      <c r="D118" s="15">
        <v>0</v>
      </c>
      <c r="E118" s="15">
        <v>26717631</v>
      </c>
      <c r="F118" s="15"/>
      <c r="G118" s="15"/>
      <c r="H118" s="15"/>
      <c r="I118" s="15">
        <v>26717631</v>
      </c>
      <c r="J118" s="15"/>
      <c r="K118" s="16"/>
    </row>
    <row r="119" spans="1:11" ht="16.5">
      <c r="A119" s="14">
        <v>3111101</v>
      </c>
      <c r="B119" s="14" t="s">
        <v>151</v>
      </c>
      <c r="C119" s="15">
        <v>5410005</v>
      </c>
      <c r="D119" s="15">
        <v>3685594</v>
      </c>
      <c r="E119" s="15">
        <v>1724411</v>
      </c>
      <c r="F119" s="15"/>
      <c r="G119" s="15"/>
      <c r="H119" s="15"/>
      <c r="I119" s="15">
        <v>1724411</v>
      </c>
      <c r="J119" s="15"/>
      <c r="K119" s="16"/>
    </row>
    <row r="120" spans="1:11" ht="16.5">
      <c r="A120" s="14">
        <v>3111106</v>
      </c>
      <c r="B120" s="14" t="s">
        <v>152</v>
      </c>
      <c r="C120" s="15">
        <v>56636320</v>
      </c>
      <c r="D120" s="15">
        <v>40136712</v>
      </c>
      <c r="E120" s="15">
        <v>16499608</v>
      </c>
      <c r="F120" s="15"/>
      <c r="G120" s="15"/>
      <c r="H120" s="15"/>
      <c r="I120" s="15">
        <v>16499608</v>
      </c>
      <c r="J120" s="15"/>
      <c r="K120" s="16"/>
    </row>
    <row r="121" spans="1:11" ht="16.5">
      <c r="A121" s="14">
        <v>3111151</v>
      </c>
      <c r="B121" s="14" t="s">
        <v>153</v>
      </c>
      <c r="C121" s="15">
        <v>28672454</v>
      </c>
      <c r="D121" s="15">
        <v>54955117</v>
      </c>
      <c r="E121" s="15"/>
      <c r="F121" s="15">
        <v>26282663</v>
      </c>
      <c r="G121" s="15"/>
      <c r="H121" s="15"/>
      <c r="I121" s="15"/>
      <c r="J121" s="15">
        <v>26282663</v>
      </c>
      <c r="K121" s="16"/>
    </row>
    <row r="122" spans="1:11" ht="16.5">
      <c r="A122" s="14">
        <v>3111152</v>
      </c>
      <c r="B122" s="14" t="s">
        <v>154</v>
      </c>
      <c r="C122" s="15">
        <v>244941193</v>
      </c>
      <c r="D122" s="15">
        <v>343174740</v>
      </c>
      <c r="E122" s="15"/>
      <c r="F122" s="15">
        <v>98233547</v>
      </c>
      <c r="G122" s="15"/>
      <c r="H122" s="15"/>
      <c r="I122" s="15"/>
      <c r="J122" s="15">
        <v>98233547</v>
      </c>
      <c r="K122" s="16"/>
    </row>
    <row r="123" spans="1:11" ht="16.5">
      <c r="A123" s="14">
        <v>3111158</v>
      </c>
      <c r="B123" s="14" t="s">
        <v>155</v>
      </c>
      <c r="C123" s="15">
        <v>1615326</v>
      </c>
      <c r="D123" s="15">
        <v>865753</v>
      </c>
      <c r="E123" s="15">
        <v>749573</v>
      </c>
      <c r="F123" s="15"/>
      <c r="G123" s="15"/>
      <c r="H123" s="15"/>
      <c r="I123" s="15">
        <v>749573</v>
      </c>
      <c r="J123" s="15"/>
      <c r="K123" s="16"/>
    </row>
    <row r="124" spans="1:11" ht="16.5">
      <c r="A124" s="14">
        <v>3113101</v>
      </c>
      <c r="B124" s="14" t="s">
        <v>156</v>
      </c>
      <c r="C124" s="15">
        <v>52460</v>
      </c>
      <c r="D124" s="15">
        <v>2622457</v>
      </c>
      <c r="E124" s="15"/>
      <c r="F124" s="15">
        <v>2569997</v>
      </c>
      <c r="G124" s="15"/>
      <c r="H124" s="15"/>
      <c r="I124" s="15"/>
      <c r="J124" s="15">
        <v>2569997</v>
      </c>
      <c r="K124" s="16"/>
    </row>
    <row r="125" spans="1:11" ht="16.5">
      <c r="A125" s="14">
        <v>3113109</v>
      </c>
      <c r="B125" s="14" t="s">
        <v>157</v>
      </c>
      <c r="C125" s="15">
        <v>104</v>
      </c>
      <c r="D125" s="15">
        <v>136</v>
      </c>
      <c r="E125" s="15"/>
      <c r="F125" s="15">
        <v>32</v>
      </c>
      <c r="G125" s="15"/>
      <c r="H125" s="15"/>
      <c r="I125" s="15"/>
      <c r="J125" s="15">
        <v>32</v>
      </c>
      <c r="K125" s="16"/>
    </row>
    <row r="126" spans="1:11" ht="16.5">
      <c r="A126" s="17" t="s">
        <v>158</v>
      </c>
      <c r="B126" s="18"/>
      <c r="C126" s="19">
        <f t="shared" ref="C126:J126" si="0">SUM(C9:C125)</f>
        <v>28272907911</v>
      </c>
      <c r="D126" s="20">
        <f t="shared" si="0"/>
        <v>28272907911</v>
      </c>
      <c r="E126" s="20">
        <f t="shared" si="0"/>
        <v>4942096460</v>
      </c>
      <c r="F126" s="20">
        <f t="shared" si="0"/>
        <v>4942096460</v>
      </c>
      <c r="G126" s="19">
        <f t="shared" si="0"/>
        <v>3373453388</v>
      </c>
      <c r="H126" s="20">
        <f t="shared" si="0"/>
        <v>3532687344</v>
      </c>
      <c r="I126" s="20">
        <f t="shared" si="0"/>
        <v>1568643072</v>
      </c>
      <c r="J126" s="20">
        <f t="shared" si="0"/>
        <v>1409409116</v>
      </c>
      <c r="K126" s="16"/>
    </row>
    <row r="127" spans="1:11" ht="16.5">
      <c r="A127" s="17" t="s">
        <v>159</v>
      </c>
      <c r="B127" s="18"/>
      <c r="C127" s="19"/>
      <c r="D127" s="20"/>
      <c r="E127" s="20"/>
      <c r="F127" s="20"/>
      <c r="G127" s="19">
        <v>0</v>
      </c>
      <c r="H127" s="21">
        <f>+G126-H126</f>
        <v>-159233956</v>
      </c>
      <c r="I127" s="19">
        <f>+J126-I126</f>
        <v>-159233956</v>
      </c>
      <c r="J127" s="19">
        <v>0</v>
      </c>
      <c r="K127" s="16"/>
    </row>
    <row r="128" spans="1:11" ht="16.5">
      <c r="A128" s="17" t="s">
        <v>160</v>
      </c>
      <c r="B128" s="18"/>
      <c r="C128" s="19">
        <f>C126</f>
        <v>28272907911</v>
      </c>
      <c r="D128" s="20">
        <f>D126</f>
        <v>28272907911</v>
      </c>
      <c r="E128" s="20">
        <f>E126</f>
        <v>4942096460</v>
      </c>
      <c r="F128" s="20">
        <f>F126</f>
        <v>4942096460</v>
      </c>
      <c r="G128" s="19">
        <f>SUM(G126:G127)</f>
        <v>3373453388</v>
      </c>
      <c r="H128" s="19">
        <f>SUM(H126:H127)</f>
        <v>3373453388</v>
      </c>
      <c r="I128" s="19">
        <f>SUM(I126:I127)</f>
        <v>1409409116</v>
      </c>
      <c r="J128" s="19">
        <f>SUM(J126:J127)</f>
        <v>1409409116</v>
      </c>
      <c r="K128" s="16"/>
    </row>
  </sheetData>
  <mergeCells count="9">
    <mergeCell ref="A2:J2"/>
    <mergeCell ref="A3:J3"/>
    <mergeCell ref="A4:J4"/>
    <mergeCell ref="A7:A8"/>
    <mergeCell ref="B7:B8"/>
    <mergeCell ref="C7:D7"/>
    <mergeCell ref="E7:F7"/>
    <mergeCell ref="G7:H7"/>
    <mergeCell ref="I7:J7"/>
  </mergeCells>
  <pageMargins left="0.7" right="0.7" top="0.75" bottom="0.75" header="0.3" footer="0.3"/>
  <headerFooter>
    <oddFooter>&amp;C_x000D_&amp;1#&amp;"Calibri"&amp;10&amp;K000000 Clasificación: Interno, no apto para su distribución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C714-68F0-4E0D-B1FA-2C4C5E3AB93B}">
  <sheetPr>
    <tabColor rgb="FF002060"/>
  </sheetPr>
  <dimension ref="A1:P26"/>
  <sheetViews>
    <sheetView tabSelected="1" zoomScale="80" zoomScaleNormal="80" workbookViewId="0">
      <selection activeCell="D20" sqref="D20"/>
    </sheetView>
  </sheetViews>
  <sheetFormatPr baseColWidth="10" defaultRowHeight="15"/>
  <cols>
    <col min="5" max="5" width="32.85546875" customWidth="1"/>
    <col min="13" max="13" width="11.85546875" customWidth="1"/>
    <col min="16" max="16" width="18.140625" bestFit="1" customWidth="1"/>
  </cols>
  <sheetData>
    <row r="1" spans="1:16" s="37" customFormat="1" ht="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2" t="s">
        <v>11</v>
      </c>
      <c r="M1" s="24" t="s">
        <v>16</v>
      </c>
      <c r="N1" s="23" t="s">
        <v>13</v>
      </c>
      <c r="O1" s="3" t="s">
        <v>12</v>
      </c>
      <c r="P1" s="3" t="s">
        <v>14</v>
      </c>
    </row>
    <row r="2" spans="1:16" ht="15.75">
      <c r="A2" s="63">
        <v>1</v>
      </c>
      <c r="B2" s="63">
        <v>33</v>
      </c>
      <c r="C2" s="63" t="s">
        <v>15</v>
      </c>
      <c r="D2" s="63" t="s">
        <v>270</v>
      </c>
      <c r="E2" s="63" t="s">
        <v>271</v>
      </c>
      <c r="F2" s="67">
        <v>230611</v>
      </c>
      <c r="G2" s="64">
        <v>45252</v>
      </c>
      <c r="H2" s="63">
        <v>615760</v>
      </c>
      <c r="I2" s="63">
        <v>17900</v>
      </c>
      <c r="J2" s="63">
        <v>3401</v>
      </c>
      <c r="K2" s="63"/>
      <c r="L2" s="63">
        <v>637061</v>
      </c>
      <c r="M2" s="65" t="s">
        <v>277</v>
      </c>
      <c r="N2" s="66">
        <v>8040703</v>
      </c>
      <c r="O2" s="63" t="s">
        <v>289</v>
      </c>
      <c r="P2" s="36" t="s">
        <v>163</v>
      </c>
    </row>
    <row r="3" spans="1:16" ht="15.75">
      <c r="A3" s="63">
        <v>2</v>
      </c>
      <c r="B3" s="63">
        <v>33</v>
      </c>
      <c r="C3" s="63" t="s">
        <v>15</v>
      </c>
      <c r="D3" s="63" t="s">
        <v>270</v>
      </c>
      <c r="E3" s="63" t="s">
        <v>271</v>
      </c>
      <c r="F3" s="67">
        <v>230612</v>
      </c>
      <c r="G3" s="64">
        <v>45252</v>
      </c>
      <c r="H3" s="63">
        <v>217485</v>
      </c>
      <c r="I3" s="63">
        <v>17900</v>
      </c>
      <c r="J3" s="63">
        <v>3401</v>
      </c>
      <c r="K3" s="63"/>
      <c r="L3" s="63">
        <v>238786</v>
      </c>
      <c r="M3" s="65" t="s">
        <v>278</v>
      </c>
      <c r="N3" s="66">
        <v>8040703</v>
      </c>
      <c r="O3" s="63" t="s">
        <v>289</v>
      </c>
      <c r="P3" s="36" t="s">
        <v>163</v>
      </c>
    </row>
    <row r="4" spans="1:16" ht="15.75">
      <c r="A4" s="63">
        <v>3</v>
      </c>
      <c r="B4" s="63">
        <v>33</v>
      </c>
      <c r="C4" s="63" t="s">
        <v>15</v>
      </c>
      <c r="D4" s="63" t="s">
        <v>213</v>
      </c>
      <c r="E4" s="63" t="s">
        <v>214</v>
      </c>
      <c r="F4" s="67">
        <v>952</v>
      </c>
      <c r="G4" s="64">
        <v>45253</v>
      </c>
      <c r="H4" s="63">
        <v>0</v>
      </c>
      <c r="I4" s="63">
        <v>219179</v>
      </c>
      <c r="J4" s="63">
        <v>41644</v>
      </c>
      <c r="K4" s="63"/>
      <c r="L4" s="63">
        <v>260823</v>
      </c>
      <c r="M4" s="65" t="s">
        <v>282</v>
      </c>
      <c r="N4" s="66">
        <v>1060603</v>
      </c>
      <c r="O4" s="63" t="s">
        <v>236</v>
      </c>
      <c r="P4" s="36" t="s">
        <v>163</v>
      </c>
    </row>
    <row r="5" spans="1:16" ht="15.75">
      <c r="A5" s="63">
        <v>4</v>
      </c>
      <c r="B5" s="63">
        <v>33</v>
      </c>
      <c r="C5" s="63" t="s">
        <v>15</v>
      </c>
      <c r="D5" s="63" t="s">
        <v>231</v>
      </c>
      <c r="E5" s="63" t="s">
        <v>232</v>
      </c>
      <c r="F5" s="67">
        <v>96</v>
      </c>
      <c r="G5" s="64">
        <v>45257</v>
      </c>
      <c r="H5" s="63">
        <v>0</v>
      </c>
      <c r="I5" s="63">
        <v>67227</v>
      </c>
      <c r="J5" s="63">
        <v>12773</v>
      </c>
      <c r="K5" s="63"/>
      <c r="L5" s="63">
        <v>80000</v>
      </c>
      <c r="M5" s="63" t="s">
        <v>279</v>
      </c>
      <c r="N5" s="66">
        <v>8050605</v>
      </c>
      <c r="O5" s="63" t="s">
        <v>237</v>
      </c>
      <c r="P5" s="36" t="s">
        <v>163</v>
      </c>
    </row>
    <row r="6" spans="1:16" ht="15.75">
      <c r="A6" s="63">
        <v>5</v>
      </c>
      <c r="B6" s="63">
        <v>33</v>
      </c>
      <c r="C6" s="63" t="s">
        <v>15</v>
      </c>
      <c r="D6" s="63" t="s">
        <v>272</v>
      </c>
      <c r="E6" s="63" t="s">
        <v>273</v>
      </c>
      <c r="F6" s="67">
        <v>343259</v>
      </c>
      <c r="G6" s="64">
        <v>45259</v>
      </c>
      <c r="H6" s="63">
        <v>0</v>
      </c>
      <c r="I6" s="63">
        <v>202813239</v>
      </c>
      <c r="J6" s="63">
        <v>38534515</v>
      </c>
      <c r="K6" s="63"/>
      <c r="L6" s="63">
        <v>241347754</v>
      </c>
      <c r="M6" s="63" t="s">
        <v>280</v>
      </c>
      <c r="N6" s="66">
        <v>8050803</v>
      </c>
      <c r="O6" s="63" t="s">
        <v>291</v>
      </c>
      <c r="P6" s="36" t="s">
        <v>163</v>
      </c>
    </row>
    <row r="7" spans="1:16" ht="15.75">
      <c r="A7" s="63">
        <v>6</v>
      </c>
      <c r="B7" s="63">
        <v>34</v>
      </c>
      <c r="C7" s="63" t="s">
        <v>15</v>
      </c>
      <c r="D7" s="63" t="s">
        <v>165</v>
      </c>
      <c r="E7" s="63" t="s">
        <v>161</v>
      </c>
      <c r="F7" s="67">
        <v>1331</v>
      </c>
      <c r="G7" s="64">
        <v>45261</v>
      </c>
      <c r="H7" s="63">
        <v>1043472</v>
      </c>
      <c r="I7" s="63">
        <v>0</v>
      </c>
      <c r="J7" s="63">
        <v>0</v>
      </c>
      <c r="K7" s="63"/>
      <c r="L7" s="63">
        <v>1043472</v>
      </c>
      <c r="M7" s="63" t="s">
        <v>281</v>
      </c>
      <c r="N7" s="66">
        <v>8050501</v>
      </c>
      <c r="O7" s="63" t="s">
        <v>235</v>
      </c>
      <c r="P7" s="36" t="s">
        <v>163</v>
      </c>
    </row>
    <row r="8" spans="1:16" ht="15.75">
      <c r="A8" s="63">
        <v>7</v>
      </c>
      <c r="B8" s="63">
        <v>33</v>
      </c>
      <c r="C8" s="63" t="s">
        <v>15</v>
      </c>
      <c r="D8" s="63" t="s">
        <v>264</v>
      </c>
      <c r="E8" s="63" t="s">
        <v>265</v>
      </c>
      <c r="F8" s="67">
        <v>19897331</v>
      </c>
      <c r="G8" s="64">
        <v>45261</v>
      </c>
      <c r="H8" s="63">
        <v>0</v>
      </c>
      <c r="I8" s="63">
        <v>19080</v>
      </c>
      <c r="J8" s="63">
        <v>3626</v>
      </c>
      <c r="K8" s="63"/>
      <c r="L8" s="62">
        <v>24416</v>
      </c>
      <c r="M8" s="63" t="s">
        <v>239</v>
      </c>
      <c r="N8" s="66">
        <v>8040402</v>
      </c>
      <c r="O8" s="63" t="s">
        <v>238</v>
      </c>
      <c r="P8" s="47" t="s">
        <v>162</v>
      </c>
    </row>
    <row r="9" spans="1:16" ht="15.75">
      <c r="A9" s="63">
        <v>8</v>
      </c>
      <c r="B9" s="63">
        <v>33</v>
      </c>
      <c r="C9" s="63" t="s">
        <v>15</v>
      </c>
      <c r="D9" s="63" t="s">
        <v>264</v>
      </c>
      <c r="E9" s="63" t="s">
        <v>265</v>
      </c>
      <c r="F9" s="67">
        <v>19897339</v>
      </c>
      <c r="G9" s="64">
        <v>45263</v>
      </c>
      <c r="H9" s="63">
        <v>0</v>
      </c>
      <c r="I9" s="63">
        <v>79934</v>
      </c>
      <c r="J9" s="63">
        <v>15188</v>
      </c>
      <c r="K9" s="63"/>
      <c r="L9" s="62">
        <v>97430</v>
      </c>
      <c r="M9" s="63" t="s">
        <v>239</v>
      </c>
      <c r="N9" s="66">
        <v>8040402</v>
      </c>
      <c r="O9" s="63" t="s">
        <v>238</v>
      </c>
      <c r="P9" s="47" t="s">
        <v>162</v>
      </c>
    </row>
    <row r="10" spans="1:16" ht="15.75">
      <c r="A10" s="63">
        <v>9</v>
      </c>
      <c r="B10" s="63">
        <v>33</v>
      </c>
      <c r="C10" s="63" t="s">
        <v>15</v>
      </c>
      <c r="D10" s="63" t="s">
        <v>219</v>
      </c>
      <c r="E10" s="63" t="s">
        <v>220</v>
      </c>
      <c r="F10" s="67">
        <v>6413164</v>
      </c>
      <c r="G10" s="64">
        <v>45267</v>
      </c>
      <c r="H10" s="63">
        <v>0</v>
      </c>
      <c r="I10" s="63">
        <v>731</v>
      </c>
      <c r="J10" s="63">
        <v>139</v>
      </c>
      <c r="K10" s="63"/>
      <c r="L10" s="63">
        <v>870</v>
      </c>
      <c r="M10" s="63" t="s">
        <v>239</v>
      </c>
      <c r="N10" s="66">
        <v>8051301</v>
      </c>
      <c r="O10" s="63" t="s">
        <v>202</v>
      </c>
      <c r="P10" s="47" t="s">
        <v>162</v>
      </c>
    </row>
    <row r="11" spans="1:16" ht="15.75">
      <c r="A11" s="63">
        <v>10</v>
      </c>
      <c r="B11" s="63">
        <v>34</v>
      </c>
      <c r="C11" s="63" t="s">
        <v>15</v>
      </c>
      <c r="D11" s="63" t="s">
        <v>219</v>
      </c>
      <c r="E11" s="63" t="s">
        <v>220</v>
      </c>
      <c r="F11" s="67">
        <v>1805946</v>
      </c>
      <c r="G11" s="64">
        <v>45267</v>
      </c>
      <c r="H11" s="63">
        <v>0</v>
      </c>
      <c r="I11" s="63">
        <v>0</v>
      </c>
      <c r="J11" s="63">
        <v>0</v>
      </c>
      <c r="K11" s="63"/>
      <c r="L11" s="63">
        <v>0</v>
      </c>
      <c r="M11" s="63" t="s">
        <v>239</v>
      </c>
      <c r="N11" s="66">
        <v>8051301</v>
      </c>
      <c r="O11" s="63" t="s">
        <v>202</v>
      </c>
      <c r="P11" s="47" t="s">
        <v>162</v>
      </c>
    </row>
    <row r="12" spans="1:16" ht="15.75">
      <c r="A12" s="63">
        <v>11</v>
      </c>
      <c r="B12" s="63">
        <v>33</v>
      </c>
      <c r="C12" s="63" t="s">
        <v>15</v>
      </c>
      <c r="D12" s="63" t="s">
        <v>264</v>
      </c>
      <c r="E12" s="63" t="s">
        <v>265</v>
      </c>
      <c r="F12" s="67">
        <v>19897358</v>
      </c>
      <c r="G12" s="64">
        <v>45268</v>
      </c>
      <c r="H12" s="63">
        <v>0</v>
      </c>
      <c r="I12" s="63">
        <v>17634</v>
      </c>
      <c r="J12" s="63">
        <v>3350</v>
      </c>
      <c r="K12" s="63"/>
      <c r="L12" s="62">
        <v>22025</v>
      </c>
      <c r="M12" s="63" t="s">
        <v>239</v>
      </c>
      <c r="N12" s="66">
        <v>8040402</v>
      </c>
      <c r="O12" s="63" t="s">
        <v>238</v>
      </c>
      <c r="P12" s="47" t="s">
        <v>162</v>
      </c>
    </row>
    <row r="13" spans="1:16" ht="15.75">
      <c r="A13" s="63">
        <v>12</v>
      </c>
      <c r="B13" s="63">
        <v>34</v>
      </c>
      <c r="C13" s="63" t="s">
        <v>15</v>
      </c>
      <c r="D13" s="63" t="s">
        <v>274</v>
      </c>
      <c r="E13" s="63" t="s">
        <v>275</v>
      </c>
      <c r="F13" s="67">
        <v>3442</v>
      </c>
      <c r="G13" s="64">
        <v>45271</v>
      </c>
      <c r="H13" s="63">
        <v>704000</v>
      </c>
      <c r="I13" s="63">
        <v>0</v>
      </c>
      <c r="J13" s="63">
        <v>0</v>
      </c>
      <c r="K13" s="63"/>
      <c r="L13" s="63">
        <v>704000</v>
      </c>
      <c r="M13" s="63" t="s">
        <v>276</v>
      </c>
      <c r="N13" s="66">
        <v>8050112</v>
      </c>
      <c r="O13" s="63" t="s">
        <v>292</v>
      </c>
      <c r="P13" s="36" t="s">
        <v>163</v>
      </c>
    </row>
    <row r="14" spans="1:16" ht="15.75">
      <c r="A14" s="63">
        <v>13</v>
      </c>
      <c r="B14" s="63">
        <v>33</v>
      </c>
      <c r="C14" s="63" t="s">
        <v>15</v>
      </c>
      <c r="D14" s="63" t="s">
        <v>219</v>
      </c>
      <c r="E14" s="63" t="s">
        <v>220</v>
      </c>
      <c r="F14" s="67">
        <v>6426323</v>
      </c>
      <c r="G14" s="64">
        <v>45271</v>
      </c>
      <c r="H14" s="63">
        <v>0</v>
      </c>
      <c r="I14" s="63">
        <v>91422</v>
      </c>
      <c r="J14" s="63">
        <v>17370</v>
      </c>
      <c r="K14" s="63"/>
      <c r="L14" s="63">
        <v>108792</v>
      </c>
      <c r="M14" s="63" t="s">
        <v>239</v>
      </c>
      <c r="N14" s="66">
        <v>8051301</v>
      </c>
      <c r="O14" s="63" t="s">
        <v>202</v>
      </c>
      <c r="P14" s="47" t="s">
        <v>162</v>
      </c>
    </row>
    <row r="15" spans="1:16" ht="15.75">
      <c r="A15" s="63">
        <v>14</v>
      </c>
      <c r="B15" s="63">
        <v>33</v>
      </c>
      <c r="C15" s="63" t="s">
        <v>15</v>
      </c>
      <c r="D15" s="63" t="s">
        <v>219</v>
      </c>
      <c r="E15" s="63" t="s">
        <v>220</v>
      </c>
      <c r="F15" s="67">
        <v>6432905</v>
      </c>
      <c r="G15" s="64">
        <v>45273</v>
      </c>
      <c r="H15" s="63">
        <v>0</v>
      </c>
      <c r="I15" s="63">
        <v>96868</v>
      </c>
      <c r="J15" s="63">
        <v>18405</v>
      </c>
      <c r="K15" s="63"/>
      <c r="L15" s="63">
        <v>115273</v>
      </c>
      <c r="M15" s="63" t="s">
        <v>239</v>
      </c>
      <c r="N15" s="66">
        <v>8051301</v>
      </c>
      <c r="O15" s="63" t="s">
        <v>202</v>
      </c>
      <c r="P15" s="47" t="s">
        <v>162</v>
      </c>
    </row>
    <row r="16" spans="1:16" ht="15.75">
      <c r="A16" s="63">
        <v>15</v>
      </c>
      <c r="B16" s="63">
        <v>33</v>
      </c>
      <c r="C16" s="63" t="s">
        <v>15</v>
      </c>
      <c r="D16" s="63" t="s">
        <v>231</v>
      </c>
      <c r="E16" s="63" t="s">
        <v>232</v>
      </c>
      <c r="F16" s="67">
        <v>99</v>
      </c>
      <c r="G16" s="64">
        <v>45274</v>
      </c>
      <c r="H16" s="63">
        <v>0</v>
      </c>
      <c r="I16" s="63">
        <v>57000</v>
      </c>
      <c r="J16" s="63">
        <v>10830</v>
      </c>
      <c r="K16" s="63"/>
      <c r="L16" s="63">
        <v>67830</v>
      </c>
      <c r="M16" s="63" t="s">
        <v>279</v>
      </c>
      <c r="N16" s="66">
        <v>8050605</v>
      </c>
      <c r="O16" s="63" t="s">
        <v>237</v>
      </c>
      <c r="P16" s="36" t="s">
        <v>163</v>
      </c>
    </row>
    <row r="17" spans="1:16" ht="15.75">
      <c r="A17" s="63">
        <v>16</v>
      </c>
      <c r="B17" s="63">
        <v>33</v>
      </c>
      <c r="C17" s="63" t="s">
        <v>15</v>
      </c>
      <c r="D17" s="63" t="s">
        <v>223</v>
      </c>
      <c r="E17" s="63" t="s">
        <v>224</v>
      </c>
      <c r="F17" s="67">
        <v>991115</v>
      </c>
      <c r="G17" s="64">
        <v>45279</v>
      </c>
      <c r="H17" s="63">
        <v>0</v>
      </c>
      <c r="I17" s="63">
        <v>40517</v>
      </c>
      <c r="J17" s="63">
        <v>7698</v>
      </c>
      <c r="K17" s="63"/>
      <c r="L17" s="63">
        <v>48215</v>
      </c>
      <c r="M17" s="65" t="s">
        <v>283</v>
      </c>
      <c r="N17" s="66">
        <v>1060603</v>
      </c>
      <c r="O17" s="63" t="s">
        <v>236</v>
      </c>
      <c r="P17" s="36" t="s">
        <v>163</v>
      </c>
    </row>
    <row r="18" spans="1:16" ht="15.75">
      <c r="A18" s="63">
        <v>17</v>
      </c>
      <c r="B18" s="63">
        <v>33</v>
      </c>
      <c r="C18" s="63" t="s">
        <v>15</v>
      </c>
      <c r="D18" s="63" t="s">
        <v>247</v>
      </c>
      <c r="E18" s="63" t="s">
        <v>248</v>
      </c>
      <c r="F18" s="67">
        <v>128038</v>
      </c>
      <c r="G18" s="64">
        <v>45279</v>
      </c>
      <c r="H18" s="63">
        <v>0</v>
      </c>
      <c r="I18" s="63">
        <v>6981311</v>
      </c>
      <c r="J18" s="63">
        <v>1326449</v>
      </c>
      <c r="K18" s="63"/>
      <c r="L18" s="63">
        <v>8307760</v>
      </c>
      <c r="M18" s="63" t="s">
        <v>286</v>
      </c>
      <c r="N18" s="66">
        <v>8040402</v>
      </c>
      <c r="O18" s="63" t="s">
        <v>238</v>
      </c>
      <c r="P18" s="36" t="s">
        <v>163</v>
      </c>
    </row>
    <row r="19" spans="1:16" ht="15.75">
      <c r="A19" s="63">
        <v>18</v>
      </c>
      <c r="B19" s="63">
        <v>33</v>
      </c>
      <c r="C19" s="63" t="s">
        <v>15</v>
      </c>
      <c r="D19" s="63" t="s">
        <v>247</v>
      </c>
      <c r="E19" s="63" t="s">
        <v>248</v>
      </c>
      <c r="F19" s="67">
        <v>128039</v>
      </c>
      <c r="G19" s="64">
        <v>45279</v>
      </c>
      <c r="H19" s="63">
        <v>0</v>
      </c>
      <c r="I19" s="63">
        <v>6512813</v>
      </c>
      <c r="J19" s="63">
        <v>1237434</v>
      </c>
      <c r="K19" s="63"/>
      <c r="L19" s="63">
        <v>7750247</v>
      </c>
      <c r="M19" s="63" t="s">
        <v>287</v>
      </c>
      <c r="N19" s="66">
        <v>8040402</v>
      </c>
      <c r="O19" s="63" t="s">
        <v>238</v>
      </c>
      <c r="P19" s="36" t="s">
        <v>163</v>
      </c>
    </row>
    <row r="20" spans="1:16" ht="15.75">
      <c r="A20" s="63">
        <v>19</v>
      </c>
      <c r="B20" s="63">
        <v>33</v>
      </c>
      <c r="C20" s="63" t="s">
        <v>15</v>
      </c>
      <c r="D20" s="63" t="s">
        <v>247</v>
      </c>
      <c r="E20" s="63" t="s">
        <v>248</v>
      </c>
      <c r="F20" s="67">
        <v>128040</v>
      </c>
      <c r="G20" s="64">
        <v>45279</v>
      </c>
      <c r="H20" s="63">
        <v>0</v>
      </c>
      <c r="I20" s="63">
        <v>3281032</v>
      </c>
      <c r="J20" s="63">
        <v>623396</v>
      </c>
      <c r="K20" s="63"/>
      <c r="L20" s="63">
        <v>3904428</v>
      </c>
      <c r="M20" s="63" t="s">
        <v>285</v>
      </c>
      <c r="N20" s="66">
        <v>8040402</v>
      </c>
      <c r="O20" s="63" t="s">
        <v>238</v>
      </c>
      <c r="P20" s="36" t="s">
        <v>163</v>
      </c>
    </row>
    <row r="21" spans="1:16" ht="15.75">
      <c r="A21" s="63">
        <v>20</v>
      </c>
      <c r="B21" s="63">
        <v>33</v>
      </c>
      <c r="C21" s="63" t="s">
        <v>15</v>
      </c>
      <c r="D21" s="63" t="s">
        <v>247</v>
      </c>
      <c r="E21" s="63" t="s">
        <v>248</v>
      </c>
      <c r="F21" s="67">
        <v>128043</v>
      </c>
      <c r="G21" s="64">
        <v>45279</v>
      </c>
      <c r="H21" s="63">
        <v>0</v>
      </c>
      <c r="I21" s="63">
        <v>1540927</v>
      </c>
      <c r="J21" s="63">
        <v>292776</v>
      </c>
      <c r="K21" s="63"/>
      <c r="L21" s="63">
        <v>1833703</v>
      </c>
      <c r="M21" s="63" t="s">
        <v>288</v>
      </c>
      <c r="N21" s="66">
        <v>8040402</v>
      </c>
      <c r="O21" s="63" t="s">
        <v>238</v>
      </c>
      <c r="P21" s="36" t="s">
        <v>163</v>
      </c>
    </row>
    <row r="22" spans="1:16" ht="15.75">
      <c r="A22" s="5">
        <v>21</v>
      </c>
      <c r="B22" s="5">
        <v>33</v>
      </c>
      <c r="C22" s="5" t="s">
        <v>15</v>
      </c>
      <c r="D22" s="5" t="s">
        <v>219</v>
      </c>
      <c r="E22" s="5" t="s">
        <v>220</v>
      </c>
      <c r="F22" s="46">
        <v>6441008</v>
      </c>
      <c r="G22" s="9">
        <v>45281</v>
      </c>
      <c r="H22" s="5">
        <v>0</v>
      </c>
      <c r="I22" s="5">
        <v>95565</v>
      </c>
      <c r="J22" s="5">
        <v>18157</v>
      </c>
      <c r="K22" s="5"/>
      <c r="L22" s="5">
        <v>113722</v>
      </c>
      <c r="M22" s="5" t="s">
        <v>239</v>
      </c>
      <c r="N22" s="59">
        <v>8051301</v>
      </c>
      <c r="O22" s="60" t="s">
        <v>202</v>
      </c>
      <c r="P22" s="47" t="s">
        <v>162</v>
      </c>
    </row>
    <row r="23" spans="1:16" ht="15.75">
      <c r="A23" s="5">
        <v>22</v>
      </c>
      <c r="B23" s="5">
        <v>33</v>
      </c>
      <c r="C23" s="5" t="s">
        <v>15</v>
      </c>
      <c r="D23" s="5" t="s">
        <v>213</v>
      </c>
      <c r="E23" s="5" t="s">
        <v>214</v>
      </c>
      <c r="F23" s="46">
        <v>1031</v>
      </c>
      <c r="G23" s="9">
        <v>45282</v>
      </c>
      <c r="H23" s="5">
        <v>0</v>
      </c>
      <c r="I23" s="5">
        <v>220290</v>
      </c>
      <c r="J23" s="5">
        <v>41855</v>
      </c>
      <c r="K23" s="5"/>
      <c r="L23" s="5">
        <v>262145</v>
      </c>
      <c r="M23" s="61" t="s">
        <v>284</v>
      </c>
      <c r="N23" s="59">
        <v>1060603</v>
      </c>
      <c r="O23" s="60" t="s">
        <v>236</v>
      </c>
      <c r="P23" s="36" t="s">
        <v>163</v>
      </c>
    </row>
    <row r="24" spans="1:16" ht="15.75">
      <c r="A24" s="5">
        <v>23</v>
      </c>
      <c r="B24" s="5">
        <v>34</v>
      </c>
      <c r="C24" s="5" t="s">
        <v>15</v>
      </c>
      <c r="D24" s="5" t="s">
        <v>219</v>
      </c>
      <c r="E24" s="5" t="s">
        <v>220</v>
      </c>
      <c r="F24" s="46">
        <v>2026362</v>
      </c>
      <c r="G24" s="9">
        <v>45288</v>
      </c>
      <c r="H24" s="5">
        <v>0</v>
      </c>
      <c r="I24" s="5">
        <v>0</v>
      </c>
      <c r="J24" s="5">
        <v>0</v>
      </c>
      <c r="K24" s="5"/>
      <c r="L24" s="5">
        <v>0</v>
      </c>
      <c r="M24" s="5" t="s">
        <v>239</v>
      </c>
      <c r="N24" s="59">
        <v>8051301</v>
      </c>
      <c r="O24" s="60" t="s">
        <v>202</v>
      </c>
      <c r="P24" s="47" t="s">
        <v>162</v>
      </c>
    </row>
    <row r="25" spans="1:16" ht="15.75">
      <c r="A25" s="5">
        <v>24</v>
      </c>
      <c r="B25" s="5">
        <v>33</v>
      </c>
      <c r="C25" s="5" t="s">
        <v>15</v>
      </c>
      <c r="D25" s="5" t="s">
        <v>219</v>
      </c>
      <c r="E25" s="5" t="s">
        <v>220</v>
      </c>
      <c r="F25" s="46">
        <v>6447975</v>
      </c>
      <c r="G25" s="9">
        <v>45288</v>
      </c>
      <c r="H25" s="5">
        <v>0</v>
      </c>
      <c r="I25" s="5">
        <v>97497</v>
      </c>
      <c r="J25" s="5">
        <v>18524</v>
      </c>
      <c r="K25" s="5"/>
      <c r="L25" s="5">
        <v>116021</v>
      </c>
      <c r="M25" s="5" t="s">
        <v>239</v>
      </c>
      <c r="N25" s="59">
        <v>8051301</v>
      </c>
      <c r="O25" s="60" t="s">
        <v>202</v>
      </c>
      <c r="P25" s="47" t="s">
        <v>162</v>
      </c>
    </row>
    <row r="26" spans="1:16" ht="15.75">
      <c r="A26" s="5">
        <v>25</v>
      </c>
      <c r="B26" s="5">
        <v>34</v>
      </c>
      <c r="C26" s="5" t="s">
        <v>15</v>
      </c>
      <c r="D26" s="5" t="s">
        <v>219</v>
      </c>
      <c r="E26" s="5" t="s">
        <v>220</v>
      </c>
      <c r="F26" s="46">
        <v>2028745</v>
      </c>
      <c r="G26" s="9">
        <v>45289</v>
      </c>
      <c r="H26" s="5">
        <v>0</v>
      </c>
      <c r="I26" s="5">
        <v>0</v>
      </c>
      <c r="J26" s="5">
        <v>0</v>
      </c>
      <c r="K26" s="5"/>
      <c r="L26" s="5">
        <v>0</v>
      </c>
      <c r="M26" s="5" t="s">
        <v>239</v>
      </c>
      <c r="N26" s="59">
        <v>8051301</v>
      </c>
      <c r="O26" s="60" t="s">
        <v>202</v>
      </c>
      <c r="P26" s="47" t="s">
        <v>162</v>
      </c>
    </row>
  </sheetData>
  <autoFilter ref="A1:P19" xr:uid="{6647C714-68F0-4E0D-B1FA-2C4C5E3AB93B}"/>
  <phoneticPr fontId="19" type="noConversion"/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87DF-3967-4D6B-A6BF-DACE185CF3B4}">
  <sheetPr>
    <tabColor theme="5"/>
  </sheetPr>
  <dimension ref="A1:R26"/>
  <sheetViews>
    <sheetView topLeftCell="A15" zoomScale="80" zoomScaleNormal="80" workbookViewId="0">
      <selection activeCell="P26" sqref="A2:P26"/>
    </sheetView>
  </sheetViews>
  <sheetFormatPr baseColWidth="10" defaultRowHeight="15"/>
  <sheetData>
    <row r="1" spans="1:18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13</v>
      </c>
      <c r="O1" t="s">
        <v>12</v>
      </c>
      <c r="P1" s="48" t="s">
        <v>14</v>
      </c>
      <c r="Q1" s="36" t="s">
        <v>163</v>
      </c>
      <c r="R1" s="47" t="s">
        <v>162</v>
      </c>
    </row>
    <row r="2" spans="1:18" ht="15.75">
      <c r="A2" s="63">
        <v>1</v>
      </c>
      <c r="B2" s="63">
        <v>33</v>
      </c>
      <c r="C2" s="63" t="s">
        <v>15</v>
      </c>
      <c r="D2" s="63" t="s">
        <v>270</v>
      </c>
      <c r="E2" s="63" t="s">
        <v>271</v>
      </c>
      <c r="F2" s="67">
        <v>230611</v>
      </c>
      <c r="G2" s="64">
        <v>45252</v>
      </c>
      <c r="H2" s="63">
        <v>615760</v>
      </c>
      <c r="I2" s="63">
        <v>17900</v>
      </c>
      <c r="J2" s="63">
        <v>3401</v>
      </c>
      <c r="K2" s="63"/>
      <c r="L2" s="63">
        <v>637061</v>
      </c>
      <c r="M2" s="65" t="s">
        <v>277</v>
      </c>
      <c r="N2" s="66">
        <v>8040703</v>
      </c>
      <c r="O2" s="63" t="s">
        <v>289</v>
      </c>
      <c r="P2" s="36" t="s">
        <v>163</v>
      </c>
    </row>
    <row r="3" spans="1:18" ht="15.75">
      <c r="A3" s="63">
        <v>2</v>
      </c>
      <c r="B3" s="63">
        <v>33</v>
      </c>
      <c r="C3" s="63" t="s">
        <v>15</v>
      </c>
      <c r="D3" s="63" t="s">
        <v>270</v>
      </c>
      <c r="E3" s="63" t="s">
        <v>271</v>
      </c>
      <c r="F3" s="67">
        <v>230612</v>
      </c>
      <c r="G3" s="64">
        <v>45252</v>
      </c>
      <c r="H3" s="63">
        <v>217485</v>
      </c>
      <c r="I3" s="63">
        <v>17900</v>
      </c>
      <c r="J3" s="63">
        <v>3401</v>
      </c>
      <c r="K3" s="63"/>
      <c r="L3" s="63">
        <v>238786</v>
      </c>
      <c r="M3" s="65" t="s">
        <v>278</v>
      </c>
      <c r="N3" s="66">
        <v>8040703</v>
      </c>
      <c r="O3" s="63" t="s">
        <v>289</v>
      </c>
      <c r="P3" s="36" t="s">
        <v>163</v>
      </c>
    </row>
    <row r="4" spans="1:18" ht="15.75">
      <c r="A4" s="63">
        <v>3</v>
      </c>
      <c r="B4" s="63">
        <v>33</v>
      </c>
      <c r="C4" s="63" t="s">
        <v>15</v>
      </c>
      <c r="D4" s="63" t="s">
        <v>213</v>
      </c>
      <c r="E4" s="63" t="s">
        <v>214</v>
      </c>
      <c r="F4" s="67">
        <v>952</v>
      </c>
      <c r="G4" s="64">
        <v>45253</v>
      </c>
      <c r="H4" s="63">
        <v>0</v>
      </c>
      <c r="I4" s="63">
        <v>219179</v>
      </c>
      <c r="J4" s="63">
        <v>41644</v>
      </c>
      <c r="K4" s="63"/>
      <c r="L4" s="63">
        <v>260823</v>
      </c>
      <c r="M4" s="65" t="s">
        <v>282</v>
      </c>
      <c r="N4" s="66">
        <v>1060603</v>
      </c>
      <c r="O4" s="63" t="s">
        <v>236</v>
      </c>
      <c r="P4" s="36" t="s">
        <v>163</v>
      </c>
    </row>
    <row r="5" spans="1:18" ht="15.75">
      <c r="A5" s="63">
        <v>4</v>
      </c>
      <c r="B5" s="63">
        <v>33</v>
      </c>
      <c r="C5" s="63" t="s">
        <v>15</v>
      </c>
      <c r="D5" s="63" t="s">
        <v>231</v>
      </c>
      <c r="E5" s="63" t="s">
        <v>232</v>
      </c>
      <c r="F5" s="67">
        <v>96</v>
      </c>
      <c r="G5" s="64">
        <v>45257</v>
      </c>
      <c r="H5" s="63">
        <v>0</v>
      </c>
      <c r="I5" s="63">
        <v>67227</v>
      </c>
      <c r="J5" s="63">
        <v>12773</v>
      </c>
      <c r="K5" s="63"/>
      <c r="L5" s="63">
        <v>80000</v>
      </c>
      <c r="M5" s="63" t="s">
        <v>279</v>
      </c>
      <c r="N5" s="66">
        <v>8050605</v>
      </c>
      <c r="O5" s="63" t="s">
        <v>237</v>
      </c>
      <c r="P5" s="36" t="s">
        <v>163</v>
      </c>
    </row>
    <row r="6" spans="1:18" ht="15.75">
      <c r="A6" s="63">
        <v>5</v>
      </c>
      <c r="B6" s="63">
        <v>33</v>
      </c>
      <c r="C6" s="63" t="s">
        <v>15</v>
      </c>
      <c r="D6" s="63" t="s">
        <v>272</v>
      </c>
      <c r="E6" s="63" t="s">
        <v>273</v>
      </c>
      <c r="F6" s="67">
        <v>343259</v>
      </c>
      <c r="G6" s="64">
        <v>45259</v>
      </c>
      <c r="H6" s="63">
        <v>0</v>
      </c>
      <c r="I6" s="63">
        <v>202813239</v>
      </c>
      <c r="J6" s="63">
        <v>38534515</v>
      </c>
      <c r="K6" s="63"/>
      <c r="L6" s="63">
        <v>241347754</v>
      </c>
      <c r="M6" s="63" t="s">
        <v>280</v>
      </c>
      <c r="N6" s="66">
        <v>8050803</v>
      </c>
      <c r="O6" s="63" t="s">
        <v>291</v>
      </c>
      <c r="P6" s="36" t="s">
        <v>163</v>
      </c>
    </row>
    <row r="7" spans="1:18" ht="15.75">
      <c r="A7" s="63">
        <v>6</v>
      </c>
      <c r="B7" s="63">
        <v>34</v>
      </c>
      <c r="C7" s="63" t="s">
        <v>15</v>
      </c>
      <c r="D7" s="63" t="s">
        <v>165</v>
      </c>
      <c r="E7" s="63" t="s">
        <v>161</v>
      </c>
      <c r="F7" s="67">
        <v>1331</v>
      </c>
      <c r="G7" s="64">
        <v>45261</v>
      </c>
      <c r="H7" s="63">
        <v>1043472</v>
      </c>
      <c r="I7" s="63">
        <v>0</v>
      </c>
      <c r="J7" s="63">
        <v>0</v>
      </c>
      <c r="K7" s="63"/>
      <c r="L7" s="63">
        <v>1043472</v>
      </c>
      <c r="M7" s="63" t="s">
        <v>281</v>
      </c>
      <c r="N7" s="66">
        <v>8050501</v>
      </c>
      <c r="O7" s="63" t="s">
        <v>235</v>
      </c>
      <c r="P7" s="36" t="s">
        <v>163</v>
      </c>
    </row>
    <row r="8" spans="1:18" ht="15.75">
      <c r="A8" s="63">
        <v>7</v>
      </c>
      <c r="B8" s="63">
        <v>33</v>
      </c>
      <c r="C8" s="63" t="s">
        <v>15</v>
      </c>
      <c r="D8" s="63" t="s">
        <v>264</v>
      </c>
      <c r="E8" s="63" t="s">
        <v>265</v>
      </c>
      <c r="F8" s="67">
        <v>19897331</v>
      </c>
      <c r="G8" s="64">
        <v>45261</v>
      </c>
      <c r="H8" s="63">
        <v>0</v>
      </c>
      <c r="I8" s="63">
        <v>19080</v>
      </c>
      <c r="J8" s="63">
        <v>3626</v>
      </c>
      <c r="K8" s="63"/>
      <c r="L8" s="63">
        <v>24416</v>
      </c>
      <c r="M8" s="63" t="s">
        <v>239</v>
      </c>
      <c r="N8" s="66">
        <v>8040402</v>
      </c>
      <c r="O8" s="63" t="s">
        <v>238</v>
      </c>
      <c r="P8" s="47" t="s">
        <v>162</v>
      </c>
    </row>
    <row r="9" spans="1:18" ht="15.75">
      <c r="A9" s="63">
        <v>8</v>
      </c>
      <c r="B9" s="63">
        <v>33</v>
      </c>
      <c r="C9" s="63" t="s">
        <v>15</v>
      </c>
      <c r="D9" s="63" t="s">
        <v>264</v>
      </c>
      <c r="E9" s="63" t="s">
        <v>265</v>
      </c>
      <c r="F9" s="67">
        <v>19897339</v>
      </c>
      <c r="G9" s="64">
        <v>45263</v>
      </c>
      <c r="H9" s="63">
        <v>0</v>
      </c>
      <c r="I9" s="63">
        <v>79934</v>
      </c>
      <c r="J9" s="63">
        <v>15188</v>
      </c>
      <c r="K9" s="63"/>
      <c r="L9" s="63">
        <v>97430</v>
      </c>
      <c r="M9" s="63" t="s">
        <v>239</v>
      </c>
      <c r="N9" s="66">
        <v>8040402</v>
      </c>
      <c r="O9" s="63" t="s">
        <v>238</v>
      </c>
      <c r="P9" s="47" t="s">
        <v>162</v>
      </c>
    </row>
    <row r="10" spans="1:18" ht="15.75">
      <c r="A10" s="63">
        <v>9</v>
      </c>
      <c r="B10" s="63">
        <v>33</v>
      </c>
      <c r="C10" s="63" t="s">
        <v>15</v>
      </c>
      <c r="D10" s="63" t="s">
        <v>219</v>
      </c>
      <c r="E10" s="63" t="s">
        <v>220</v>
      </c>
      <c r="F10" s="67">
        <v>6413164</v>
      </c>
      <c r="G10" s="64">
        <v>45267</v>
      </c>
      <c r="H10" s="63">
        <v>0</v>
      </c>
      <c r="I10" s="63">
        <v>731</v>
      </c>
      <c r="J10" s="63">
        <v>139</v>
      </c>
      <c r="K10" s="63"/>
      <c r="L10" s="63">
        <v>870</v>
      </c>
      <c r="M10" s="63" t="s">
        <v>239</v>
      </c>
      <c r="N10" s="66">
        <v>8051301</v>
      </c>
      <c r="O10" s="63" t="s">
        <v>202</v>
      </c>
      <c r="P10" s="47" t="s">
        <v>162</v>
      </c>
    </row>
    <row r="11" spans="1:18" ht="15.75">
      <c r="A11" s="63">
        <v>10</v>
      </c>
      <c r="B11" s="63">
        <v>34</v>
      </c>
      <c r="C11" s="63" t="s">
        <v>15</v>
      </c>
      <c r="D11" s="63" t="s">
        <v>219</v>
      </c>
      <c r="E11" s="63" t="s">
        <v>220</v>
      </c>
      <c r="F11" s="67">
        <v>1805946</v>
      </c>
      <c r="G11" s="64">
        <v>45267</v>
      </c>
      <c r="H11" s="63">
        <v>0</v>
      </c>
      <c r="I11" s="63">
        <v>0</v>
      </c>
      <c r="J11" s="63">
        <v>0</v>
      </c>
      <c r="K11" s="63"/>
      <c r="L11" s="63">
        <v>0</v>
      </c>
      <c r="M11" s="63" t="s">
        <v>239</v>
      </c>
      <c r="N11" s="66">
        <v>8051301</v>
      </c>
      <c r="O11" s="63" t="s">
        <v>202</v>
      </c>
      <c r="P11" s="47" t="s">
        <v>162</v>
      </c>
    </row>
    <row r="12" spans="1:18" ht="15.75">
      <c r="A12" s="63">
        <v>11</v>
      </c>
      <c r="B12" s="63">
        <v>33</v>
      </c>
      <c r="C12" s="63" t="s">
        <v>15</v>
      </c>
      <c r="D12" s="63" t="s">
        <v>264</v>
      </c>
      <c r="E12" s="63" t="s">
        <v>265</v>
      </c>
      <c r="F12" s="67">
        <v>19897358</v>
      </c>
      <c r="G12" s="64">
        <v>45268</v>
      </c>
      <c r="H12" s="63">
        <v>0</v>
      </c>
      <c r="I12" s="63">
        <v>17634</v>
      </c>
      <c r="J12" s="63">
        <v>3350</v>
      </c>
      <c r="K12" s="63"/>
      <c r="L12" s="63">
        <v>22025</v>
      </c>
      <c r="M12" s="63" t="s">
        <v>239</v>
      </c>
      <c r="N12" s="66">
        <v>8040402</v>
      </c>
      <c r="O12" s="63" t="s">
        <v>238</v>
      </c>
      <c r="P12" s="47" t="s">
        <v>162</v>
      </c>
    </row>
    <row r="13" spans="1:18" ht="15.75">
      <c r="A13" s="63">
        <v>12</v>
      </c>
      <c r="B13" s="63">
        <v>34</v>
      </c>
      <c r="C13" s="63" t="s">
        <v>15</v>
      </c>
      <c r="D13" s="63" t="s">
        <v>274</v>
      </c>
      <c r="E13" s="63" t="s">
        <v>275</v>
      </c>
      <c r="F13" s="67">
        <v>3442</v>
      </c>
      <c r="G13" s="64">
        <v>45271</v>
      </c>
      <c r="H13" s="63">
        <v>704000</v>
      </c>
      <c r="I13" s="63">
        <v>0</v>
      </c>
      <c r="J13" s="63">
        <v>0</v>
      </c>
      <c r="K13" s="63"/>
      <c r="L13" s="63">
        <v>704000</v>
      </c>
      <c r="M13" s="63" t="s">
        <v>276</v>
      </c>
      <c r="N13" s="66">
        <v>8050112</v>
      </c>
      <c r="O13" s="63" t="s">
        <v>292</v>
      </c>
      <c r="P13" s="36" t="s">
        <v>163</v>
      </c>
    </row>
    <row r="14" spans="1:18" ht="15.75">
      <c r="A14" s="63">
        <v>13</v>
      </c>
      <c r="B14" s="63">
        <v>33</v>
      </c>
      <c r="C14" s="63" t="s">
        <v>15</v>
      </c>
      <c r="D14" s="63" t="s">
        <v>219</v>
      </c>
      <c r="E14" s="63" t="s">
        <v>220</v>
      </c>
      <c r="F14" s="67">
        <v>6426323</v>
      </c>
      <c r="G14" s="64">
        <v>45271</v>
      </c>
      <c r="H14" s="63">
        <v>0</v>
      </c>
      <c r="I14" s="63">
        <v>91422</v>
      </c>
      <c r="J14" s="63">
        <v>17370</v>
      </c>
      <c r="K14" s="63"/>
      <c r="L14" s="63">
        <v>108792</v>
      </c>
      <c r="M14" s="63" t="s">
        <v>239</v>
      </c>
      <c r="N14" s="66">
        <v>8051301</v>
      </c>
      <c r="O14" s="63" t="s">
        <v>202</v>
      </c>
      <c r="P14" s="47" t="s">
        <v>162</v>
      </c>
    </row>
    <row r="15" spans="1:18" ht="15.75">
      <c r="A15" s="63">
        <v>14</v>
      </c>
      <c r="B15" s="63">
        <v>33</v>
      </c>
      <c r="C15" s="63" t="s">
        <v>15</v>
      </c>
      <c r="D15" s="63" t="s">
        <v>219</v>
      </c>
      <c r="E15" s="63" t="s">
        <v>220</v>
      </c>
      <c r="F15" s="67">
        <v>6432905</v>
      </c>
      <c r="G15" s="64">
        <v>45273</v>
      </c>
      <c r="H15" s="63">
        <v>0</v>
      </c>
      <c r="I15" s="63">
        <v>96868</v>
      </c>
      <c r="J15" s="63">
        <v>18405</v>
      </c>
      <c r="K15" s="63"/>
      <c r="L15" s="63">
        <v>115273</v>
      </c>
      <c r="M15" s="63" t="s">
        <v>239</v>
      </c>
      <c r="N15" s="66">
        <v>8051301</v>
      </c>
      <c r="O15" s="63" t="s">
        <v>202</v>
      </c>
      <c r="P15" s="47" t="s">
        <v>162</v>
      </c>
    </row>
    <row r="16" spans="1:18" ht="15.75">
      <c r="A16" s="63">
        <v>15</v>
      </c>
      <c r="B16" s="63">
        <v>33</v>
      </c>
      <c r="C16" s="63" t="s">
        <v>15</v>
      </c>
      <c r="D16" s="63" t="s">
        <v>231</v>
      </c>
      <c r="E16" s="63" t="s">
        <v>232</v>
      </c>
      <c r="F16" s="67">
        <v>99</v>
      </c>
      <c r="G16" s="64">
        <v>45274</v>
      </c>
      <c r="H16" s="63">
        <v>0</v>
      </c>
      <c r="I16" s="63">
        <v>57000</v>
      </c>
      <c r="J16" s="63">
        <v>10830</v>
      </c>
      <c r="K16" s="63"/>
      <c r="L16" s="63">
        <v>67830</v>
      </c>
      <c r="M16" s="63" t="s">
        <v>279</v>
      </c>
      <c r="N16" s="66">
        <v>8050605</v>
      </c>
      <c r="O16" s="63" t="s">
        <v>237</v>
      </c>
      <c r="P16" s="36" t="s">
        <v>163</v>
      </c>
    </row>
    <row r="17" spans="1:16" ht="15.75">
      <c r="A17" s="63">
        <v>16</v>
      </c>
      <c r="B17" s="63">
        <v>33</v>
      </c>
      <c r="C17" s="63" t="s">
        <v>15</v>
      </c>
      <c r="D17" s="63" t="s">
        <v>223</v>
      </c>
      <c r="E17" s="63" t="s">
        <v>224</v>
      </c>
      <c r="F17" s="67">
        <v>991115</v>
      </c>
      <c r="G17" s="64">
        <v>45279</v>
      </c>
      <c r="H17" s="63">
        <v>0</v>
      </c>
      <c r="I17" s="63">
        <v>40517</v>
      </c>
      <c r="J17" s="63">
        <v>7698</v>
      </c>
      <c r="K17" s="63"/>
      <c r="L17" s="63">
        <v>48215</v>
      </c>
      <c r="M17" s="65" t="s">
        <v>283</v>
      </c>
      <c r="N17" s="66">
        <v>1060603</v>
      </c>
      <c r="O17" s="63" t="s">
        <v>236</v>
      </c>
      <c r="P17" s="36" t="s">
        <v>163</v>
      </c>
    </row>
    <row r="18" spans="1:16" ht="15.75">
      <c r="A18" s="63">
        <v>17</v>
      </c>
      <c r="B18" s="63">
        <v>33</v>
      </c>
      <c r="C18" s="63" t="s">
        <v>15</v>
      </c>
      <c r="D18" s="63" t="s">
        <v>247</v>
      </c>
      <c r="E18" s="63" t="s">
        <v>248</v>
      </c>
      <c r="F18" s="67">
        <v>128038</v>
      </c>
      <c r="G18" s="64">
        <v>45279</v>
      </c>
      <c r="H18" s="63">
        <v>0</v>
      </c>
      <c r="I18" s="63">
        <v>6981311</v>
      </c>
      <c r="J18" s="63">
        <v>1326449</v>
      </c>
      <c r="K18" s="63"/>
      <c r="L18" s="63">
        <v>8307760</v>
      </c>
      <c r="M18" s="63" t="s">
        <v>286</v>
      </c>
      <c r="N18" s="66">
        <v>8040402</v>
      </c>
      <c r="O18" s="63" t="s">
        <v>238</v>
      </c>
      <c r="P18" s="36" t="s">
        <v>163</v>
      </c>
    </row>
    <row r="19" spans="1:16" ht="15.75">
      <c r="A19" s="63">
        <v>18</v>
      </c>
      <c r="B19" s="63">
        <v>33</v>
      </c>
      <c r="C19" s="63" t="s">
        <v>15</v>
      </c>
      <c r="D19" s="63" t="s">
        <v>247</v>
      </c>
      <c r="E19" s="63" t="s">
        <v>248</v>
      </c>
      <c r="F19" s="67">
        <v>128039</v>
      </c>
      <c r="G19" s="64">
        <v>45279</v>
      </c>
      <c r="H19" s="63">
        <v>0</v>
      </c>
      <c r="I19" s="63">
        <v>6512813</v>
      </c>
      <c r="J19" s="63">
        <v>1237434</v>
      </c>
      <c r="K19" s="63"/>
      <c r="L19" s="63">
        <v>7750247</v>
      </c>
      <c r="M19" s="63" t="s">
        <v>287</v>
      </c>
      <c r="N19" s="66">
        <v>8040402</v>
      </c>
      <c r="O19" s="63" t="s">
        <v>238</v>
      </c>
      <c r="P19" s="36" t="s">
        <v>163</v>
      </c>
    </row>
    <row r="20" spans="1:16" ht="15.75">
      <c r="A20" s="63">
        <v>19</v>
      </c>
      <c r="B20" s="63">
        <v>33</v>
      </c>
      <c r="C20" s="63" t="s">
        <v>15</v>
      </c>
      <c r="D20" s="63" t="s">
        <v>247</v>
      </c>
      <c r="E20" s="63" t="s">
        <v>248</v>
      </c>
      <c r="F20" s="67">
        <v>128040</v>
      </c>
      <c r="G20" s="64">
        <v>45279</v>
      </c>
      <c r="H20" s="63">
        <v>0</v>
      </c>
      <c r="I20" s="63">
        <v>3281032</v>
      </c>
      <c r="J20" s="63">
        <v>623396</v>
      </c>
      <c r="K20" s="63"/>
      <c r="L20" s="63">
        <v>3904428</v>
      </c>
      <c r="M20" s="63" t="s">
        <v>285</v>
      </c>
      <c r="N20" s="66">
        <v>8040402</v>
      </c>
      <c r="O20" s="63" t="s">
        <v>238</v>
      </c>
      <c r="P20" s="36" t="s">
        <v>163</v>
      </c>
    </row>
    <row r="21" spans="1:16" ht="15.75">
      <c r="A21" s="63">
        <v>20</v>
      </c>
      <c r="B21" s="63">
        <v>33</v>
      </c>
      <c r="C21" s="63" t="s">
        <v>15</v>
      </c>
      <c r="D21" s="63" t="s">
        <v>247</v>
      </c>
      <c r="E21" s="63" t="s">
        <v>248</v>
      </c>
      <c r="F21" s="67">
        <v>128043</v>
      </c>
      <c r="G21" s="64">
        <v>45279</v>
      </c>
      <c r="H21" s="63">
        <v>0</v>
      </c>
      <c r="I21" s="63">
        <v>1540927</v>
      </c>
      <c r="J21" s="63">
        <v>292776</v>
      </c>
      <c r="K21" s="63"/>
      <c r="L21" s="63">
        <v>1833703</v>
      </c>
      <c r="M21" s="63" t="s">
        <v>288</v>
      </c>
      <c r="N21" s="66">
        <v>8040402</v>
      </c>
      <c r="O21" s="63" t="s">
        <v>238</v>
      </c>
      <c r="P21" s="36" t="s">
        <v>163</v>
      </c>
    </row>
    <row r="22" spans="1:16" ht="15.75">
      <c r="A22" s="5">
        <v>21</v>
      </c>
      <c r="B22" s="5">
        <v>33</v>
      </c>
      <c r="C22" s="5" t="s">
        <v>15</v>
      </c>
      <c r="D22" s="5" t="s">
        <v>219</v>
      </c>
      <c r="E22" s="5" t="s">
        <v>220</v>
      </c>
      <c r="F22" s="46">
        <v>6441008</v>
      </c>
      <c r="G22" s="9">
        <v>45281</v>
      </c>
      <c r="H22" s="5">
        <v>0</v>
      </c>
      <c r="I22" s="5">
        <v>95565</v>
      </c>
      <c r="J22" s="5">
        <v>18157</v>
      </c>
      <c r="K22" s="5"/>
      <c r="L22" s="5">
        <v>113722</v>
      </c>
      <c r="M22" s="5" t="s">
        <v>239</v>
      </c>
      <c r="N22" s="59">
        <v>8051301</v>
      </c>
      <c r="O22" s="60" t="s">
        <v>202</v>
      </c>
      <c r="P22" s="47" t="s">
        <v>162</v>
      </c>
    </row>
    <row r="23" spans="1:16" ht="15.75">
      <c r="A23" s="5">
        <v>22</v>
      </c>
      <c r="B23" s="5">
        <v>33</v>
      </c>
      <c r="C23" s="5" t="s">
        <v>15</v>
      </c>
      <c r="D23" s="5" t="s">
        <v>213</v>
      </c>
      <c r="E23" s="5" t="s">
        <v>214</v>
      </c>
      <c r="F23" s="46">
        <v>1031</v>
      </c>
      <c r="G23" s="9">
        <v>45282</v>
      </c>
      <c r="H23" s="5">
        <v>0</v>
      </c>
      <c r="I23" s="5">
        <v>220290</v>
      </c>
      <c r="J23" s="5">
        <v>41855</v>
      </c>
      <c r="K23" s="5"/>
      <c r="L23" s="5">
        <v>262145</v>
      </c>
      <c r="M23" s="61" t="s">
        <v>284</v>
      </c>
      <c r="N23" s="59">
        <v>1060603</v>
      </c>
      <c r="O23" s="60" t="s">
        <v>236</v>
      </c>
      <c r="P23" s="36" t="s">
        <v>163</v>
      </c>
    </row>
    <row r="24" spans="1:16" ht="15.75">
      <c r="A24" s="5">
        <v>23</v>
      </c>
      <c r="B24" s="5">
        <v>34</v>
      </c>
      <c r="C24" s="5" t="s">
        <v>15</v>
      </c>
      <c r="D24" s="5" t="s">
        <v>219</v>
      </c>
      <c r="E24" s="5" t="s">
        <v>220</v>
      </c>
      <c r="F24" s="46">
        <v>2026362</v>
      </c>
      <c r="G24" s="9">
        <v>45288</v>
      </c>
      <c r="H24" s="5">
        <v>0</v>
      </c>
      <c r="I24" s="5">
        <v>0</v>
      </c>
      <c r="J24" s="5">
        <v>0</v>
      </c>
      <c r="K24" s="5"/>
      <c r="L24" s="5">
        <v>0</v>
      </c>
      <c r="M24" s="5" t="s">
        <v>239</v>
      </c>
      <c r="N24" s="59">
        <v>8051301</v>
      </c>
      <c r="O24" s="60" t="s">
        <v>202</v>
      </c>
      <c r="P24" s="47" t="s">
        <v>162</v>
      </c>
    </row>
    <row r="25" spans="1:16" ht="15.75">
      <c r="A25" s="5">
        <v>24</v>
      </c>
      <c r="B25" s="5">
        <v>33</v>
      </c>
      <c r="C25" s="5" t="s">
        <v>15</v>
      </c>
      <c r="D25" s="5" t="s">
        <v>219</v>
      </c>
      <c r="E25" s="5" t="s">
        <v>220</v>
      </c>
      <c r="F25" s="46">
        <v>6447975</v>
      </c>
      <c r="G25" s="9">
        <v>45288</v>
      </c>
      <c r="H25" s="5">
        <v>0</v>
      </c>
      <c r="I25" s="5">
        <v>97497</v>
      </c>
      <c r="J25" s="5">
        <v>18524</v>
      </c>
      <c r="K25" s="5"/>
      <c r="L25" s="5">
        <v>116021</v>
      </c>
      <c r="M25" s="5" t="s">
        <v>239</v>
      </c>
      <c r="N25" s="59">
        <v>8051301</v>
      </c>
      <c r="O25" s="60" t="s">
        <v>202</v>
      </c>
      <c r="P25" s="47" t="s">
        <v>162</v>
      </c>
    </row>
    <row r="26" spans="1:16" ht="15.75">
      <c r="A26" s="5">
        <v>25</v>
      </c>
      <c r="B26" s="5">
        <v>34</v>
      </c>
      <c r="C26" s="5" t="s">
        <v>15</v>
      </c>
      <c r="D26" s="5" t="s">
        <v>219</v>
      </c>
      <c r="E26" s="5" t="s">
        <v>220</v>
      </c>
      <c r="F26" s="46">
        <v>2028745</v>
      </c>
      <c r="G26" s="9">
        <v>45289</v>
      </c>
      <c r="H26" s="5">
        <v>0</v>
      </c>
      <c r="I26" s="5">
        <v>0</v>
      </c>
      <c r="J26" s="5">
        <v>0</v>
      </c>
      <c r="K26" s="5"/>
      <c r="L26" s="5">
        <v>0</v>
      </c>
      <c r="M26" s="5" t="s">
        <v>239</v>
      </c>
      <c r="N26" s="59">
        <v>8051301</v>
      </c>
      <c r="O26" s="60" t="s">
        <v>202</v>
      </c>
      <c r="P26" s="47" t="s">
        <v>162</v>
      </c>
    </row>
  </sheetData>
  <autoFilter ref="A1:P26" xr:uid="{498587DF-3967-4D6B-A6BF-DACE185CF3B4}"/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1DDB-95CF-4000-9B2E-C948E28C93B8}">
  <sheetPr>
    <tabColor rgb="FF002060"/>
  </sheetPr>
  <dimension ref="A1:Q55"/>
  <sheetViews>
    <sheetView topLeftCell="E1" zoomScale="70" zoomScaleNormal="70" workbookViewId="0">
      <selection activeCell="B29" sqref="B29"/>
    </sheetView>
  </sheetViews>
  <sheetFormatPr baseColWidth="10" defaultRowHeight="15"/>
  <cols>
    <col min="1" max="1" width="10.7109375" bestFit="1" customWidth="1"/>
    <col min="2" max="2" width="11.7109375" bestFit="1" customWidth="1"/>
    <col min="3" max="3" width="15.42578125" bestFit="1" customWidth="1"/>
    <col min="4" max="4" width="17.7109375" bestFit="1" customWidth="1"/>
    <col min="5" max="5" width="81.7109375" bestFit="1" customWidth="1"/>
    <col min="6" max="6" width="13.85546875" bestFit="1" customWidth="1"/>
    <col min="7" max="7" width="16.28515625" bestFit="1" customWidth="1"/>
    <col min="8" max="8" width="16" customWidth="1"/>
    <col min="9" max="9" width="16.42578125" bestFit="1" customWidth="1"/>
    <col min="10" max="10" width="19.7109375" bestFit="1" customWidth="1"/>
    <col min="11" max="11" width="19.28515625" bestFit="1" customWidth="1"/>
    <col min="12" max="12" width="21.5703125" bestFit="1" customWidth="1"/>
    <col min="13" max="13" width="11" customWidth="1"/>
    <col min="14" max="14" width="17.140625" bestFit="1" customWidth="1"/>
    <col min="15" max="15" width="44.28515625" bestFit="1" customWidth="1"/>
    <col min="16" max="16" width="21.140625" bestFit="1" customWidth="1"/>
  </cols>
  <sheetData>
    <row r="1" spans="1:17" s="2" customFormat="1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2" t="s">
        <v>11</v>
      </c>
      <c r="M1" s="24" t="s">
        <v>16</v>
      </c>
      <c r="N1" s="23" t="s">
        <v>13</v>
      </c>
      <c r="O1" s="3" t="s">
        <v>12</v>
      </c>
      <c r="P1" s="3" t="s">
        <v>14</v>
      </c>
    </row>
    <row r="2" spans="1:17" ht="15.75">
      <c r="A2" s="5">
        <v>1</v>
      </c>
      <c r="B2" s="5">
        <v>33</v>
      </c>
      <c r="C2" s="5" t="s">
        <v>15</v>
      </c>
      <c r="D2" s="5" t="s">
        <v>270</v>
      </c>
      <c r="E2" s="5" t="s">
        <v>271</v>
      </c>
      <c r="F2" s="46">
        <v>230611</v>
      </c>
      <c r="G2" s="9">
        <v>45252</v>
      </c>
      <c r="H2" s="5">
        <v>615760</v>
      </c>
      <c r="I2" s="5">
        <v>17900</v>
      </c>
      <c r="J2" s="5">
        <v>3401</v>
      </c>
      <c r="K2" s="5"/>
      <c r="L2" s="5">
        <v>637061</v>
      </c>
      <c r="M2" s="5" t="s">
        <v>239</v>
      </c>
      <c r="N2" s="53">
        <f>VLOOKUP(D2,Titulares!$A$2:$F$323,5,)</f>
        <v>8040703</v>
      </c>
      <c r="O2" s="54" t="str">
        <f>VLOOKUP(N2,Titulares!$E$2:$F$323,2,)</f>
        <v>GASTOS DE HOSPEDAJE Y VIAJES DE APOYO VENTA CLP</v>
      </c>
      <c r="P2" s="31"/>
      <c r="Q2" s="31" t="s">
        <v>163</v>
      </c>
    </row>
    <row r="3" spans="1:17" ht="15.75">
      <c r="A3" s="5">
        <v>2</v>
      </c>
      <c r="B3" s="5">
        <v>33</v>
      </c>
      <c r="C3" s="5" t="s">
        <v>15</v>
      </c>
      <c r="D3" s="5" t="s">
        <v>270</v>
      </c>
      <c r="E3" s="5" t="s">
        <v>271</v>
      </c>
      <c r="F3" s="46">
        <v>230612</v>
      </c>
      <c r="G3" s="9">
        <v>45252</v>
      </c>
      <c r="H3" s="5">
        <v>217485</v>
      </c>
      <c r="I3" s="5">
        <v>17900</v>
      </c>
      <c r="J3" s="5">
        <v>3401</v>
      </c>
      <c r="K3" s="5"/>
      <c r="L3" s="5">
        <v>238786</v>
      </c>
      <c r="M3" s="5" t="s">
        <v>239</v>
      </c>
      <c r="N3" s="53">
        <f>VLOOKUP(D3,Titulares!$A$2:$F$323,5,)</f>
        <v>8040703</v>
      </c>
      <c r="O3" s="54" t="str">
        <f>VLOOKUP(N3,Titulares!$E$2:$F$323,2,)</f>
        <v>GASTOS DE HOSPEDAJE Y VIAJES DE APOYO VENTA CLP</v>
      </c>
      <c r="P3" s="31"/>
      <c r="Q3" s="32" t="s">
        <v>162</v>
      </c>
    </row>
    <row r="4" spans="1:17" ht="15.75">
      <c r="A4" s="5">
        <v>3</v>
      </c>
      <c r="B4" s="5">
        <v>33</v>
      </c>
      <c r="C4" s="5" t="s">
        <v>15</v>
      </c>
      <c r="D4" s="5" t="s">
        <v>213</v>
      </c>
      <c r="E4" s="5" t="s">
        <v>214</v>
      </c>
      <c r="F4" s="46">
        <v>952</v>
      </c>
      <c r="G4" s="9">
        <v>45253</v>
      </c>
      <c r="H4" s="5">
        <v>0</v>
      </c>
      <c r="I4" s="5">
        <v>219179</v>
      </c>
      <c r="J4" s="5">
        <v>41644</v>
      </c>
      <c r="K4" s="5"/>
      <c r="L4" s="5">
        <v>260823</v>
      </c>
      <c r="M4" s="5" t="s">
        <v>239</v>
      </c>
      <c r="N4" s="53">
        <f>VLOOKUP(D4,Titulares!$A$2:$F$323,5,)</f>
        <v>1060603</v>
      </c>
      <c r="O4" s="54" t="str">
        <f>VLOOKUP(N4,Titulares!$E$2:$F$323,2,)</f>
        <v>MATERIALES CLP</v>
      </c>
      <c r="P4" s="31"/>
      <c r="Q4" s="25"/>
    </row>
    <row r="5" spans="1:17" ht="15.75">
      <c r="A5" s="5">
        <v>4</v>
      </c>
      <c r="B5" s="5">
        <v>33</v>
      </c>
      <c r="C5" s="5" t="s">
        <v>15</v>
      </c>
      <c r="D5" s="5" t="s">
        <v>231</v>
      </c>
      <c r="E5" s="5" t="s">
        <v>232</v>
      </c>
      <c r="F5" s="46">
        <v>96</v>
      </c>
      <c r="G5" s="9">
        <v>45257</v>
      </c>
      <c r="H5" s="5">
        <v>0</v>
      </c>
      <c r="I5" s="5">
        <v>67227</v>
      </c>
      <c r="J5" s="5">
        <v>12773</v>
      </c>
      <c r="K5" s="5"/>
      <c r="L5" s="5">
        <v>80000</v>
      </c>
      <c r="M5" s="5" t="s">
        <v>239</v>
      </c>
      <c r="N5" s="53">
        <f>VLOOKUP(D5,Titulares!$A$2:$F$323,5,)</f>
        <v>8050605</v>
      </c>
      <c r="O5" s="54" t="str">
        <f>VLOOKUP(N5,Titulares!$E$2:$F$323,2,)</f>
        <v>OTROS ARRIENDOS CLP</v>
      </c>
      <c r="P5" s="31"/>
      <c r="Q5" s="29"/>
    </row>
    <row r="6" spans="1:17">
      <c r="A6" s="5">
        <v>5</v>
      </c>
      <c r="B6" s="5">
        <v>33</v>
      </c>
      <c r="C6" s="5" t="s">
        <v>15</v>
      </c>
      <c r="D6" s="5" t="s">
        <v>272</v>
      </c>
      <c r="E6" s="5" t="s">
        <v>273</v>
      </c>
      <c r="F6" s="46">
        <v>343259</v>
      </c>
      <c r="G6" s="9">
        <v>45259</v>
      </c>
      <c r="H6" s="5">
        <v>0</v>
      </c>
      <c r="I6" s="5">
        <v>202813239</v>
      </c>
      <c r="J6" s="5">
        <v>38534515</v>
      </c>
      <c r="K6" s="5"/>
      <c r="L6" s="5">
        <v>241347754</v>
      </c>
      <c r="M6" s="5" t="s">
        <v>239</v>
      </c>
      <c r="N6" s="53">
        <f>VLOOKUP(D6,Titulares!$A$2:$F$323,5,)</f>
        <v>8050803</v>
      </c>
      <c r="O6" s="54" t="str">
        <f>VLOOKUP(N6,Titulares!$E$2:$F$323,2,)</f>
        <v>SERVICIO DE SOPORTE DE SISTEMAS CLP</v>
      </c>
      <c r="P6" s="32"/>
      <c r="Q6" s="30"/>
    </row>
    <row r="7" spans="1:17" ht="15.75">
      <c r="A7" s="5">
        <v>21</v>
      </c>
      <c r="B7" s="5">
        <v>34</v>
      </c>
      <c r="C7" s="5" t="s">
        <v>15</v>
      </c>
      <c r="D7" s="5" t="s">
        <v>165</v>
      </c>
      <c r="E7" s="5" t="s">
        <v>161</v>
      </c>
      <c r="F7" s="46">
        <v>1331</v>
      </c>
      <c r="G7" s="9">
        <v>45261</v>
      </c>
      <c r="H7" s="5">
        <v>1043472</v>
      </c>
      <c r="I7" s="5">
        <v>0</v>
      </c>
      <c r="J7" s="5">
        <v>0</v>
      </c>
      <c r="K7" s="5"/>
      <c r="L7" s="5">
        <v>1043472</v>
      </c>
      <c r="M7" s="5" t="s">
        <v>239</v>
      </c>
      <c r="N7" s="53">
        <f>VLOOKUP(D7,Titulares!$A$2:$F$323,5,)</f>
        <v>8050501</v>
      </c>
      <c r="O7" s="54" t="str">
        <f>VLOOKUP(N7,Titulares!$E$2:$F$323,2,)</f>
        <v>HONORARIOS PROFESIONALES CLP</v>
      </c>
      <c r="P7" s="31"/>
      <c r="Q7" s="25"/>
    </row>
    <row r="8" spans="1:17" ht="15.75">
      <c r="A8" s="5">
        <v>6</v>
      </c>
      <c r="B8" s="5">
        <v>33</v>
      </c>
      <c r="C8" s="5" t="s">
        <v>15</v>
      </c>
      <c r="D8" s="5" t="s">
        <v>264</v>
      </c>
      <c r="E8" s="5" t="s">
        <v>265</v>
      </c>
      <c r="F8" s="46">
        <v>19897331</v>
      </c>
      <c r="G8" s="9">
        <v>45261</v>
      </c>
      <c r="H8" s="5">
        <v>0</v>
      </c>
      <c r="I8" s="5">
        <v>19080</v>
      </c>
      <c r="J8" s="5">
        <v>3626</v>
      </c>
      <c r="K8" s="5"/>
      <c r="L8" s="5">
        <v>24416</v>
      </c>
      <c r="M8" s="5" t="s">
        <v>239</v>
      </c>
      <c r="N8" s="53">
        <f>VLOOKUP(D8,Titulares!$A$2:$F$323,5,)</f>
        <v>8040402</v>
      </c>
      <c r="O8" s="54" t="str">
        <f>VLOOKUP(N8,Titulares!$E$2:$F$323,2,)</f>
        <v>OTROS GASTOS VENTA CLP</v>
      </c>
      <c r="P8" s="31"/>
      <c r="Q8" s="25"/>
    </row>
    <row r="9" spans="1:17">
      <c r="A9" s="5">
        <v>7</v>
      </c>
      <c r="B9" s="5">
        <v>33</v>
      </c>
      <c r="C9" s="5" t="s">
        <v>15</v>
      </c>
      <c r="D9" s="5" t="s">
        <v>264</v>
      </c>
      <c r="E9" s="5" t="s">
        <v>265</v>
      </c>
      <c r="F9" s="46">
        <v>19897339</v>
      </c>
      <c r="G9" s="9">
        <v>45263</v>
      </c>
      <c r="H9" s="5">
        <v>0</v>
      </c>
      <c r="I9" s="5">
        <v>79934</v>
      </c>
      <c r="J9" s="5">
        <v>15188</v>
      </c>
      <c r="K9" s="5"/>
      <c r="L9" s="5">
        <v>97430</v>
      </c>
      <c r="M9" s="5" t="s">
        <v>239</v>
      </c>
      <c r="N9" s="27">
        <f>VLOOKUP(D9,Titulares!$A$2:$F$323,5,)</f>
        <v>8040402</v>
      </c>
      <c r="O9" s="28" t="str">
        <f>VLOOKUP(N9,Titulares!$E$2:$F$323,2,)</f>
        <v>OTROS GASTOS VENTA CLP</v>
      </c>
      <c r="P9" s="26"/>
    </row>
    <row r="10" spans="1:17" ht="15.75">
      <c r="A10" s="5">
        <v>8</v>
      </c>
      <c r="B10" s="5">
        <v>33</v>
      </c>
      <c r="C10" s="5" t="s">
        <v>15</v>
      </c>
      <c r="D10" s="5" t="s">
        <v>219</v>
      </c>
      <c r="E10" s="5" t="s">
        <v>220</v>
      </c>
      <c r="F10" s="46">
        <v>6413164</v>
      </c>
      <c r="G10" s="9">
        <v>45267</v>
      </c>
      <c r="H10" s="5">
        <v>0</v>
      </c>
      <c r="I10" s="5">
        <v>731</v>
      </c>
      <c r="J10" s="5">
        <v>139</v>
      </c>
      <c r="K10" s="5"/>
      <c r="L10" s="5">
        <v>870</v>
      </c>
      <c r="M10" s="5" t="s">
        <v>239</v>
      </c>
      <c r="N10" s="27">
        <f>VLOOKUP(D10,Titulares!$A$2:$F$323,5,)</f>
        <v>8051301</v>
      </c>
      <c r="O10" s="28" t="str">
        <f>VLOOKUP(N10,Titulares!$E$2:$F$323,2,)</f>
        <v>GASTOS BANCARIOS CLP</v>
      </c>
      <c r="P10" s="31"/>
      <c r="Q10" s="25"/>
    </row>
    <row r="11" spans="1:17">
      <c r="A11" s="5">
        <v>22</v>
      </c>
      <c r="B11" s="5">
        <v>34</v>
      </c>
      <c r="C11" s="5" t="s">
        <v>15</v>
      </c>
      <c r="D11" s="5" t="s">
        <v>219</v>
      </c>
      <c r="E11" s="5" t="s">
        <v>220</v>
      </c>
      <c r="F11" s="46">
        <v>1805946</v>
      </c>
      <c r="G11" s="9">
        <v>45267</v>
      </c>
      <c r="H11" s="5">
        <v>0</v>
      </c>
      <c r="I11" s="5">
        <v>0</v>
      </c>
      <c r="J11" s="5">
        <v>0</v>
      </c>
      <c r="K11" s="5"/>
      <c r="L11" s="5">
        <v>0</v>
      </c>
      <c r="M11" s="5" t="s">
        <v>239</v>
      </c>
      <c r="N11" s="27">
        <f>VLOOKUP(D11,Titulares!$A$2:$F$323,5,)</f>
        <v>8051301</v>
      </c>
      <c r="O11" s="28" t="str">
        <f>VLOOKUP(N11,Titulares!$E$2:$F$323,2,)</f>
        <v>GASTOS BANCARIOS CLP</v>
      </c>
      <c r="P11" s="26"/>
    </row>
    <row r="12" spans="1:17">
      <c r="A12" s="5">
        <v>9</v>
      </c>
      <c r="B12" s="5">
        <v>33</v>
      </c>
      <c r="C12" s="5" t="s">
        <v>15</v>
      </c>
      <c r="D12" s="5" t="s">
        <v>264</v>
      </c>
      <c r="E12" s="5" t="s">
        <v>265</v>
      </c>
      <c r="F12" s="46">
        <v>19897358</v>
      </c>
      <c r="G12" s="9">
        <v>45268</v>
      </c>
      <c r="H12" s="5">
        <v>0</v>
      </c>
      <c r="I12" s="5">
        <v>17634</v>
      </c>
      <c r="J12" s="5">
        <v>3350</v>
      </c>
      <c r="K12" s="5"/>
      <c r="L12" s="5">
        <v>22025</v>
      </c>
      <c r="M12" s="5" t="s">
        <v>239</v>
      </c>
      <c r="N12" s="27">
        <f>VLOOKUP(D12,Titulares!$A$2:$F$323,5,)</f>
        <v>8040402</v>
      </c>
      <c r="O12" s="28" t="str">
        <f>VLOOKUP(N12,Titulares!$E$2:$F$323,2,)</f>
        <v>OTROS GASTOS VENTA CLP</v>
      </c>
      <c r="P12" s="26"/>
    </row>
    <row r="13" spans="1:17">
      <c r="A13" s="5">
        <v>23</v>
      </c>
      <c r="B13" s="5">
        <v>34</v>
      </c>
      <c r="C13" s="5" t="s">
        <v>15</v>
      </c>
      <c r="D13" s="5" t="s">
        <v>274</v>
      </c>
      <c r="E13" s="5" t="s">
        <v>275</v>
      </c>
      <c r="F13" s="46">
        <v>3442</v>
      </c>
      <c r="G13" s="9">
        <v>45271</v>
      </c>
      <c r="H13" s="5">
        <v>704000</v>
      </c>
      <c r="I13" s="5">
        <v>0</v>
      </c>
      <c r="J13" s="5">
        <v>0</v>
      </c>
      <c r="K13" s="5"/>
      <c r="L13" s="5">
        <v>704000</v>
      </c>
      <c r="M13" s="5" t="s">
        <v>239</v>
      </c>
      <c r="N13" s="27">
        <f>VLOOKUP(D13,Titulares!$A$2:$F$323,5,)</f>
        <v>8050112</v>
      </c>
      <c r="O13" s="28" t="str">
        <f>VLOOKUP(N13,Titulares!$E$2:$F$323,2,)</f>
        <v>GASTOS DE CAPACITACION - ADM CLP</v>
      </c>
      <c r="P13" s="26"/>
    </row>
    <row r="14" spans="1:17">
      <c r="A14" s="5">
        <v>10</v>
      </c>
      <c r="B14" s="5">
        <v>33</v>
      </c>
      <c r="C14" s="5" t="s">
        <v>15</v>
      </c>
      <c r="D14" s="5" t="s">
        <v>219</v>
      </c>
      <c r="E14" s="5" t="s">
        <v>220</v>
      </c>
      <c r="F14" s="46">
        <v>6426323</v>
      </c>
      <c r="G14" s="9">
        <v>45271</v>
      </c>
      <c r="H14" s="5">
        <v>0</v>
      </c>
      <c r="I14" s="5">
        <v>91422</v>
      </c>
      <c r="J14" s="5">
        <v>17370</v>
      </c>
      <c r="K14" s="5"/>
      <c r="L14" s="5">
        <v>108792</v>
      </c>
      <c r="M14" s="5" t="s">
        <v>239</v>
      </c>
      <c r="N14" s="27">
        <f>VLOOKUP(D14,Titulares!$A$2:$F$323,5,)</f>
        <v>8051301</v>
      </c>
      <c r="O14" s="28" t="str">
        <f>VLOOKUP(N14,Titulares!$E$2:$F$323,2,)</f>
        <v>GASTOS BANCARIOS CLP</v>
      </c>
      <c r="P14" s="32"/>
      <c r="Q14" s="25"/>
    </row>
    <row r="15" spans="1:17" ht="15.75">
      <c r="A15" s="5">
        <v>11</v>
      </c>
      <c r="B15" s="5">
        <v>33</v>
      </c>
      <c r="C15" s="5" t="s">
        <v>15</v>
      </c>
      <c r="D15" s="5" t="s">
        <v>219</v>
      </c>
      <c r="E15" s="5" t="s">
        <v>220</v>
      </c>
      <c r="F15" s="46">
        <v>6432905</v>
      </c>
      <c r="G15" s="9">
        <v>45273</v>
      </c>
      <c r="H15" s="5">
        <v>0</v>
      </c>
      <c r="I15" s="5">
        <v>96868</v>
      </c>
      <c r="J15" s="5">
        <v>18405</v>
      </c>
      <c r="K15" s="5"/>
      <c r="L15" s="5">
        <v>115273</v>
      </c>
      <c r="M15" s="5" t="s">
        <v>239</v>
      </c>
      <c r="N15" s="27">
        <f>VLOOKUP(D15,Titulares!$A$2:$F$323,5,)</f>
        <v>8051301</v>
      </c>
      <c r="O15" s="28" t="str">
        <f>VLOOKUP(N15,Titulares!$E$2:$F$323,2,)</f>
        <v>GASTOS BANCARIOS CLP</v>
      </c>
      <c r="P15" s="31"/>
      <c r="Q15" s="25"/>
    </row>
    <row r="16" spans="1:17">
      <c r="A16" s="5">
        <v>12</v>
      </c>
      <c r="B16" s="5">
        <v>33</v>
      </c>
      <c r="C16" s="5" t="s">
        <v>15</v>
      </c>
      <c r="D16" s="5" t="s">
        <v>231</v>
      </c>
      <c r="E16" s="5" t="s">
        <v>232</v>
      </c>
      <c r="F16" s="46">
        <v>99</v>
      </c>
      <c r="G16" s="9">
        <v>45274</v>
      </c>
      <c r="H16" s="5">
        <v>0</v>
      </c>
      <c r="I16" s="5">
        <v>57000</v>
      </c>
      <c r="J16" s="5">
        <v>10830</v>
      </c>
      <c r="K16" s="5"/>
      <c r="L16" s="5">
        <v>67830</v>
      </c>
      <c r="M16" s="5" t="s">
        <v>239</v>
      </c>
      <c r="N16" s="27">
        <f>VLOOKUP(D16,Titulares!$A$2:$F$323,5,)</f>
        <v>8050605</v>
      </c>
      <c r="O16" s="28" t="str">
        <f>VLOOKUP(N16,Titulares!$E$2:$F$323,2,)</f>
        <v>OTROS ARRIENDOS CLP</v>
      </c>
      <c r="P16" s="26"/>
    </row>
    <row r="17" spans="1:17">
      <c r="A17" s="5">
        <v>13</v>
      </c>
      <c r="B17" s="5">
        <v>33</v>
      </c>
      <c r="C17" s="5" t="s">
        <v>15</v>
      </c>
      <c r="D17" s="5" t="s">
        <v>223</v>
      </c>
      <c r="E17" s="5" t="s">
        <v>224</v>
      </c>
      <c r="F17" s="46">
        <v>991115</v>
      </c>
      <c r="G17" s="9">
        <v>45279</v>
      </c>
      <c r="H17" s="5">
        <v>0</v>
      </c>
      <c r="I17" s="5">
        <v>40517</v>
      </c>
      <c r="J17" s="5">
        <v>7698</v>
      </c>
      <c r="K17" s="5"/>
      <c r="L17" s="5">
        <v>48215</v>
      </c>
      <c r="M17" s="5" t="s">
        <v>239</v>
      </c>
      <c r="N17" s="27">
        <f>VLOOKUP(D17,Titulares!$A$2:$F$323,5,)</f>
        <v>1060603</v>
      </c>
      <c r="O17" s="28" t="str">
        <f>VLOOKUP(N17,Titulares!$E$2:$F$323,2,)</f>
        <v>MATERIALES CLP</v>
      </c>
      <c r="P17" s="32"/>
      <c r="Q17" s="25"/>
    </row>
    <row r="18" spans="1:17">
      <c r="A18" s="5">
        <v>14</v>
      </c>
      <c r="B18" s="5">
        <v>33</v>
      </c>
      <c r="C18" s="5" t="s">
        <v>15</v>
      </c>
      <c r="D18" s="5" t="s">
        <v>247</v>
      </c>
      <c r="E18" s="5" t="s">
        <v>248</v>
      </c>
      <c r="F18" s="46">
        <v>128038</v>
      </c>
      <c r="G18" s="9">
        <v>45279</v>
      </c>
      <c r="H18" s="5">
        <v>0</v>
      </c>
      <c r="I18" s="5">
        <v>6981311</v>
      </c>
      <c r="J18" s="5">
        <v>1326449</v>
      </c>
      <c r="K18" s="5"/>
      <c r="L18" s="5">
        <v>8307760</v>
      </c>
      <c r="M18" s="5" t="s">
        <v>239</v>
      </c>
      <c r="N18" s="27">
        <f>VLOOKUP(D18,Titulares!$A$2:$F$323,5,)</f>
        <v>8040402</v>
      </c>
      <c r="O18" s="28" t="str">
        <f>VLOOKUP(N18,Titulares!$E$2:$F$323,2,)</f>
        <v>OTROS GASTOS VENTA CLP</v>
      </c>
      <c r="P18" s="26"/>
    </row>
    <row r="19" spans="1:17">
      <c r="A19" s="5">
        <v>15</v>
      </c>
      <c r="B19" s="5">
        <v>33</v>
      </c>
      <c r="C19" s="5" t="s">
        <v>15</v>
      </c>
      <c r="D19" s="5" t="s">
        <v>247</v>
      </c>
      <c r="E19" s="5" t="s">
        <v>248</v>
      </c>
      <c r="F19" s="46">
        <v>128039</v>
      </c>
      <c r="G19" s="9">
        <v>45279</v>
      </c>
      <c r="H19" s="5">
        <v>0</v>
      </c>
      <c r="I19" s="5">
        <v>6512813</v>
      </c>
      <c r="J19" s="5">
        <v>1237434</v>
      </c>
      <c r="K19" s="5"/>
      <c r="L19" s="5">
        <v>7750247</v>
      </c>
      <c r="M19" s="5" t="s">
        <v>239</v>
      </c>
      <c r="N19" s="27">
        <f>VLOOKUP(D19,Titulares!$A$2:$F$323,5,)</f>
        <v>8040402</v>
      </c>
      <c r="O19" s="28" t="str">
        <f>VLOOKUP(N19,Titulares!$E$2:$F$323,2,)</f>
        <v>OTROS GASTOS VENTA CLP</v>
      </c>
      <c r="P19" s="26"/>
    </row>
    <row r="20" spans="1:17">
      <c r="A20" s="5">
        <v>16</v>
      </c>
      <c r="B20" s="5">
        <v>33</v>
      </c>
      <c r="C20" s="5" t="s">
        <v>15</v>
      </c>
      <c r="D20" s="5" t="s">
        <v>247</v>
      </c>
      <c r="E20" s="5" t="s">
        <v>248</v>
      </c>
      <c r="F20" s="46">
        <v>128040</v>
      </c>
      <c r="G20" s="9">
        <v>45279</v>
      </c>
      <c r="H20" s="5">
        <v>0</v>
      </c>
      <c r="I20" s="5">
        <v>3281032</v>
      </c>
      <c r="J20" s="5">
        <v>623396</v>
      </c>
      <c r="K20" s="5"/>
      <c r="L20" s="5">
        <v>3904428</v>
      </c>
      <c r="M20" s="5" t="s">
        <v>239</v>
      </c>
      <c r="N20" s="27">
        <f>VLOOKUP(D20,Titulares!$A$2:$F$323,5,)</f>
        <v>8040402</v>
      </c>
      <c r="O20" s="28" t="str">
        <f>VLOOKUP(N20,Titulares!$E$2:$F$323,2,)</f>
        <v>OTROS GASTOS VENTA CLP</v>
      </c>
      <c r="P20" s="26"/>
    </row>
    <row r="21" spans="1:17" s="1" customFormat="1" ht="15.75" thickBot="1">
      <c r="A21" s="5">
        <v>17</v>
      </c>
      <c r="B21" s="5">
        <v>33</v>
      </c>
      <c r="C21" s="5" t="s">
        <v>15</v>
      </c>
      <c r="D21" s="5" t="s">
        <v>247</v>
      </c>
      <c r="E21" s="5" t="s">
        <v>248</v>
      </c>
      <c r="F21" s="46">
        <v>128043</v>
      </c>
      <c r="G21" s="9">
        <v>45279</v>
      </c>
      <c r="H21" s="5">
        <v>0</v>
      </c>
      <c r="I21" s="5">
        <v>1540927</v>
      </c>
      <c r="J21" s="5">
        <v>292776</v>
      </c>
      <c r="K21" s="5"/>
      <c r="L21" s="5">
        <v>1833703</v>
      </c>
      <c r="M21" s="5" t="s">
        <v>239</v>
      </c>
      <c r="N21" s="27">
        <f>VLOOKUP(D21,Titulares!$A$2:$F$323,5,)</f>
        <v>8040402</v>
      </c>
      <c r="O21" s="28" t="str">
        <f>VLOOKUP(N21,Titulares!$E$2:$F$323,2,)</f>
        <v>OTROS GASTOS VENTA CLP</v>
      </c>
      <c r="P21" s="4"/>
    </row>
    <row r="22" spans="1:17">
      <c r="A22" s="5">
        <v>18</v>
      </c>
      <c r="B22" s="5">
        <v>33</v>
      </c>
      <c r="C22" s="5" t="s">
        <v>15</v>
      </c>
      <c r="D22" s="5" t="s">
        <v>219</v>
      </c>
      <c r="E22" s="5" t="s">
        <v>220</v>
      </c>
      <c r="F22" s="46">
        <v>6441008</v>
      </c>
      <c r="G22" s="9">
        <v>45281</v>
      </c>
      <c r="H22" s="5">
        <v>0</v>
      </c>
      <c r="I22" s="5">
        <v>95565</v>
      </c>
      <c r="J22" s="5">
        <v>18157</v>
      </c>
      <c r="K22" s="5"/>
      <c r="L22" s="5">
        <v>113722</v>
      </c>
      <c r="M22" s="5" t="s">
        <v>239</v>
      </c>
      <c r="N22" s="27">
        <f>VLOOKUP(D22,Titulares!$A$2:$F$323,5,)</f>
        <v>8051301</v>
      </c>
      <c r="O22" s="28" t="str">
        <f>VLOOKUP(N22,Titulares!$E$2:$F$323,2,)</f>
        <v>GASTOS BANCARIOS CLP</v>
      </c>
    </row>
    <row r="23" spans="1:17">
      <c r="A23" s="5">
        <v>19</v>
      </c>
      <c r="B23" s="5">
        <v>33</v>
      </c>
      <c r="C23" s="5" t="s">
        <v>15</v>
      </c>
      <c r="D23" s="5" t="s">
        <v>213</v>
      </c>
      <c r="E23" s="5" t="s">
        <v>214</v>
      </c>
      <c r="F23" s="46">
        <v>1031</v>
      </c>
      <c r="G23" s="9">
        <v>45282</v>
      </c>
      <c r="H23" s="5">
        <v>0</v>
      </c>
      <c r="I23" s="5">
        <v>220290</v>
      </c>
      <c r="J23" s="5">
        <v>41855</v>
      </c>
      <c r="K23" s="5"/>
      <c r="L23" s="5">
        <v>262145</v>
      </c>
      <c r="M23" s="5" t="s">
        <v>239</v>
      </c>
      <c r="N23" s="27">
        <f>VLOOKUP(D23,Titulares!$A$2:$F$323,5,)</f>
        <v>1060603</v>
      </c>
      <c r="O23" s="28" t="str">
        <f>VLOOKUP(N23,Titulares!$E$2:$F$323,2,)</f>
        <v>MATERIALES CLP</v>
      </c>
    </row>
    <row r="24" spans="1:17">
      <c r="A24" s="5">
        <v>24</v>
      </c>
      <c r="B24" s="5">
        <v>34</v>
      </c>
      <c r="C24" s="5" t="s">
        <v>15</v>
      </c>
      <c r="D24" s="5" t="s">
        <v>219</v>
      </c>
      <c r="E24" s="5" t="s">
        <v>220</v>
      </c>
      <c r="F24" s="46">
        <v>2026362</v>
      </c>
      <c r="G24" s="9">
        <v>45288</v>
      </c>
      <c r="H24" s="5">
        <v>0</v>
      </c>
      <c r="I24" s="5">
        <v>0</v>
      </c>
      <c r="J24" s="5">
        <v>0</v>
      </c>
      <c r="K24" s="5"/>
      <c r="L24" s="5">
        <v>0</v>
      </c>
      <c r="M24" s="5" t="s">
        <v>239</v>
      </c>
      <c r="N24" s="27">
        <f>VLOOKUP(D24,Titulares!$A$2:$F$323,5,)</f>
        <v>8051301</v>
      </c>
      <c r="O24" s="28" t="str">
        <f>VLOOKUP(N24,Titulares!$E$2:$F$323,2,)</f>
        <v>GASTOS BANCARIOS CLP</v>
      </c>
    </row>
    <row r="25" spans="1:17">
      <c r="A25" s="5">
        <v>20</v>
      </c>
      <c r="B25" s="5">
        <v>33</v>
      </c>
      <c r="C25" s="5" t="s">
        <v>15</v>
      </c>
      <c r="D25" s="5" t="s">
        <v>219</v>
      </c>
      <c r="E25" s="5" t="s">
        <v>220</v>
      </c>
      <c r="F25" s="46">
        <v>6447975</v>
      </c>
      <c r="G25" s="9">
        <v>45288</v>
      </c>
      <c r="H25" s="5">
        <v>0</v>
      </c>
      <c r="I25" s="5">
        <v>97497</v>
      </c>
      <c r="J25" s="5">
        <v>18524</v>
      </c>
      <c r="K25" s="5"/>
      <c r="L25" s="5">
        <v>116021</v>
      </c>
      <c r="M25" s="5" t="s">
        <v>239</v>
      </c>
      <c r="N25" s="27">
        <f>VLOOKUP(D25,Titulares!$A$2:$F$323,5,)</f>
        <v>8051301</v>
      </c>
      <c r="O25" s="28" t="str">
        <f>VLOOKUP(N25,Titulares!$E$2:$F$323,2,)</f>
        <v>GASTOS BANCARIOS CLP</v>
      </c>
    </row>
    <row r="26" spans="1:17">
      <c r="A26" s="5">
        <v>25</v>
      </c>
      <c r="B26" s="5">
        <v>34</v>
      </c>
      <c r="C26" s="5" t="s">
        <v>15</v>
      </c>
      <c r="D26" s="5" t="s">
        <v>219</v>
      </c>
      <c r="E26" s="5" t="s">
        <v>220</v>
      </c>
      <c r="F26" s="46">
        <v>2028745</v>
      </c>
      <c r="G26" s="9">
        <v>45289</v>
      </c>
      <c r="H26" s="5">
        <v>0</v>
      </c>
      <c r="I26" s="5">
        <v>0</v>
      </c>
      <c r="J26" s="5">
        <v>0</v>
      </c>
      <c r="K26" s="5"/>
      <c r="L26" s="5">
        <v>0</v>
      </c>
      <c r="M26" s="5" t="s">
        <v>239</v>
      </c>
      <c r="N26" s="27">
        <f>VLOOKUP(D26,Titulares!$A$2:$F$323,5,)</f>
        <v>8051301</v>
      </c>
      <c r="O26" s="28" t="str">
        <f>VLOOKUP(N26,Titulares!$E$2:$F$323,2,)</f>
        <v>GASTOS BANCARIOS CLP</v>
      </c>
    </row>
    <row r="27" spans="1:17">
      <c r="A27" s="5"/>
      <c r="B27" s="5"/>
      <c r="C27" s="5"/>
      <c r="D27" s="5"/>
      <c r="E27" s="5"/>
      <c r="F27" s="5"/>
      <c r="G27" s="9"/>
      <c r="H27" s="5"/>
      <c r="I27" s="5"/>
      <c r="J27" s="5"/>
      <c r="K27" s="5"/>
      <c r="L27" s="5"/>
      <c r="N27" s="27" t="e">
        <f>VLOOKUP(D27,Titulares!$A$2:$F$323,5,)</f>
        <v>#N/A</v>
      </c>
      <c r="O27" s="28" t="e">
        <f>VLOOKUP(N27,Titulares!$E$2:$F$323,2,)</f>
        <v>#N/A</v>
      </c>
    </row>
    <row r="28" spans="1:17">
      <c r="A28" s="5"/>
      <c r="B28" s="5"/>
      <c r="C28" s="5"/>
      <c r="D28" s="5"/>
      <c r="E28" s="5"/>
      <c r="F28" s="5"/>
      <c r="G28" s="9"/>
      <c r="H28" s="5"/>
      <c r="I28" s="5"/>
      <c r="J28" s="5"/>
      <c r="K28" s="5"/>
      <c r="L28" s="5"/>
      <c r="N28" s="27" t="e">
        <f>VLOOKUP(D28,Titulares!$A$2:$F$323,5,)</f>
        <v>#N/A</v>
      </c>
      <c r="O28" s="28" t="e">
        <f>VLOOKUP(N28,Titulares!$E$2:$F$323,2,)</f>
        <v>#N/A</v>
      </c>
    </row>
    <row r="29" spans="1:17">
      <c r="A29" s="5"/>
      <c r="B29" s="5"/>
      <c r="C29" s="5"/>
      <c r="D29" s="5"/>
      <c r="E29" s="5"/>
      <c r="F29" s="5"/>
      <c r="G29" s="9"/>
      <c r="H29" s="5"/>
      <c r="I29" s="5"/>
      <c r="J29" s="5"/>
      <c r="K29" s="5"/>
      <c r="L29" s="5"/>
      <c r="N29" s="27" t="e">
        <f>VLOOKUP(D29,Titulares!$A$2:$F$323,5,)</f>
        <v>#N/A</v>
      </c>
      <c r="O29" s="28" t="e">
        <f>VLOOKUP(N29,Titulares!$E$2:$F$323,2,)</f>
        <v>#N/A</v>
      </c>
    </row>
    <row r="30" spans="1:17">
      <c r="A30" s="5"/>
      <c r="B30" s="5"/>
      <c r="C30" s="5"/>
      <c r="D30" s="5"/>
      <c r="E30" s="5"/>
      <c r="F30" s="5"/>
      <c r="G30" s="9"/>
      <c r="H30" s="5"/>
      <c r="I30" s="5"/>
      <c r="J30" s="5"/>
      <c r="K30" s="5"/>
      <c r="L30" s="5"/>
      <c r="N30" s="27" t="e">
        <f>VLOOKUP(D30,Titulares!$A$2:$F$323,5,)</f>
        <v>#N/A</v>
      </c>
      <c r="O30" s="28" t="e">
        <f>VLOOKUP(N30,Titulares!$E$2:$F$323,2,)</f>
        <v>#N/A</v>
      </c>
    </row>
    <row r="31" spans="1:17">
      <c r="A31" s="5"/>
      <c r="B31" s="5"/>
      <c r="C31" s="5"/>
      <c r="D31" s="5"/>
      <c r="E31" s="5"/>
      <c r="F31" s="5"/>
      <c r="G31" s="9"/>
      <c r="H31" s="5"/>
      <c r="I31" s="5"/>
      <c r="J31" s="5"/>
      <c r="K31" s="5"/>
      <c r="L31" s="5"/>
      <c r="N31" s="27" t="e">
        <f>VLOOKUP(D31,Titulares!$A$2:$F$323,5,)</f>
        <v>#N/A</v>
      </c>
      <c r="O31" s="28" t="e">
        <f>VLOOKUP(N31,Titulares!$E$2:$F$323,2,)</f>
        <v>#N/A</v>
      </c>
    </row>
    <row r="32" spans="1:17">
      <c r="A32" s="5"/>
      <c r="B32" s="5"/>
      <c r="C32" s="5"/>
      <c r="D32" s="5"/>
      <c r="E32" s="5"/>
      <c r="F32" s="5"/>
      <c r="G32" s="9"/>
      <c r="H32" s="5"/>
      <c r="I32" s="5"/>
      <c r="J32" s="5"/>
      <c r="K32" s="5"/>
      <c r="L32" s="5"/>
      <c r="N32" s="27" t="e">
        <f>VLOOKUP(D32,Titulares!$A$2:$F$323,5,)</f>
        <v>#N/A</v>
      </c>
      <c r="O32" s="28" t="e">
        <f>VLOOKUP(N32,Titulares!$E$2:$F$323,2,)</f>
        <v>#N/A</v>
      </c>
    </row>
    <row r="33" spans="1:15">
      <c r="A33" s="5"/>
      <c r="B33" s="5"/>
      <c r="C33" s="5"/>
      <c r="D33" s="5"/>
      <c r="E33" s="5"/>
      <c r="F33" s="5"/>
      <c r="G33" s="9"/>
      <c r="H33" s="5"/>
      <c r="I33" s="5"/>
      <c r="J33" s="5"/>
      <c r="K33" s="5"/>
      <c r="L33" s="5"/>
      <c r="N33" s="27" t="e">
        <f>VLOOKUP(D33,Titulares!$A$2:$F$323,5,)</f>
        <v>#N/A</v>
      </c>
      <c r="O33" s="28" t="e">
        <f>VLOOKUP(N33,Titulares!$E$2:$F$323,2,)</f>
        <v>#N/A</v>
      </c>
    </row>
    <row r="34" spans="1:15">
      <c r="A34" s="5"/>
      <c r="B34" s="5"/>
      <c r="C34" s="5"/>
      <c r="D34" s="5"/>
      <c r="E34" s="5"/>
      <c r="F34" s="5"/>
      <c r="G34" s="9"/>
      <c r="H34" s="5"/>
      <c r="I34" s="5"/>
      <c r="J34" s="5"/>
      <c r="K34" s="5"/>
      <c r="L34" s="5"/>
      <c r="N34" s="27" t="e">
        <f>VLOOKUP(D34,Titulares!$A$2:$F$323,5,)</f>
        <v>#N/A</v>
      </c>
      <c r="O34" s="28" t="e">
        <f>VLOOKUP(N34,Titulares!$E$2:$F$323,2,)</f>
        <v>#N/A</v>
      </c>
    </row>
    <row r="35" spans="1:15">
      <c r="A35" s="5"/>
      <c r="B35" s="5"/>
      <c r="C35" s="5"/>
      <c r="D35" s="5"/>
      <c r="E35" s="5"/>
      <c r="F35" s="5"/>
      <c r="G35" s="9"/>
      <c r="H35" s="5"/>
      <c r="I35" s="5"/>
      <c r="J35" s="5"/>
      <c r="K35" s="5"/>
      <c r="L35" s="5"/>
      <c r="N35" s="27" t="e">
        <f>VLOOKUP(D35,Titulares!$A$2:$F$323,5,)</f>
        <v>#N/A</v>
      </c>
      <c r="O35" s="28" t="e">
        <f>VLOOKUP(N35,Titulares!$E$2:$F$323,2,)</f>
        <v>#N/A</v>
      </c>
    </row>
    <row r="36" spans="1:15">
      <c r="A36" s="5"/>
      <c r="B36" s="5"/>
      <c r="C36" s="5"/>
      <c r="D36" s="5"/>
      <c r="E36" s="5"/>
      <c r="F36" s="5"/>
      <c r="G36" s="9"/>
      <c r="H36" s="5"/>
      <c r="I36" s="5"/>
      <c r="J36" s="5"/>
      <c r="K36" s="5"/>
      <c r="L36" s="5"/>
      <c r="N36" s="27" t="e">
        <f>VLOOKUP(D36,Titulares!$A$2:$F$323,5,)</f>
        <v>#N/A</v>
      </c>
      <c r="O36" s="28" t="e">
        <f>VLOOKUP(N36,Titulares!$E$2:$F$323,2,)</f>
        <v>#N/A</v>
      </c>
    </row>
    <row r="37" spans="1:15">
      <c r="A37" s="5"/>
      <c r="B37" s="5"/>
      <c r="C37" s="5"/>
      <c r="D37" s="5"/>
      <c r="E37" s="5"/>
      <c r="F37" s="5"/>
      <c r="G37" s="9"/>
      <c r="H37" s="5"/>
      <c r="I37" s="5"/>
      <c r="J37" s="5"/>
      <c r="K37" s="5"/>
      <c r="L37" s="5"/>
      <c r="N37" s="27" t="e">
        <f>VLOOKUP(D37,Titulares!$A$2:$F$323,5,)</f>
        <v>#N/A</v>
      </c>
      <c r="O37" s="28" t="e">
        <f>VLOOKUP(N37,Titulares!$E$2:$F$323,2,)</f>
        <v>#N/A</v>
      </c>
    </row>
    <row r="38" spans="1:15">
      <c r="A38" s="5"/>
      <c r="B38" s="5"/>
      <c r="C38" s="5"/>
      <c r="D38" s="5"/>
      <c r="E38" s="5"/>
      <c r="F38" s="5"/>
      <c r="G38" s="9"/>
      <c r="H38" s="5"/>
      <c r="I38" s="5"/>
      <c r="J38" s="5"/>
      <c r="K38" s="5"/>
      <c r="L38" s="5"/>
      <c r="N38" s="27" t="e">
        <f>VLOOKUP(D38,Titulares!$A$2:$F$323,5,)</f>
        <v>#N/A</v>
      </c>
      <c r="O38" s="28" t="e">
        <f>VLOOKUP(N38,Titulares!$E$2:$F$323,2,)</f>
        <v>#N/A</v>
      </c>
    </row>
    <row r="39" spans="1:15">
      <c r="A39" s="5"/>
      <c r="B39" s="5"/>
      <c r="C39" s="5"/>
      <c r="D39" s="5"/>
      <c r="E39" s="5"/>
      <c r="F39" s="5"/>
      <c r="G39" s="9"/>
      <c r="H39" s="5"/>
      <c r="I39" s="5"/>
      <c r="J39" s="5"/>
      <c r="K39" s="5"/>
      <c r="L39" s="5"/>
      <c r="N39" s="27" t="e">
        <f>VLOOKUP(D39,Titulares!$A$2:$F$323,5,)</f>
        <v>#N/A</v>
      </c>
      <c r="O39" s="28" t="e">
        <f>VLOOKUP(N39,Titulares!$E$2:$F$323,2,)</f>
        <v>#N/A</v>
      </c>
    </row>
    <row r="40" spans="1:15">
      <c r="A40" s="5"/>
      <c r="B40" s="5"/>
      <c r="C40" s="5"/>
      <c r="D40" s="5"/>
      <c r="E40" s="5"/>
      <c r="F40" s="5"/>
      <c r="G40" s="9"/>
      <c r="H40" s="5"/>
      <c r="I40" s="5"/>
      <c r="J40" s="5"/>
      <c r="K40" s="5"/>
      <c r="L40" s="5"/>
      <c r="N40" s="27" t="e">
        <f>VLOOKUP(D40,Titulares!$A$2:$F$323,5,)</f>
        <v>#N/A</v>
      </c>
      <c r="O40" s="28" t="e">
        <f>VLOOKUP(N40,Titulares!$E$2:$F$323,2,)</f>
        <v>#N/A</v>
      </c>
    </row>
    <row r="41" spans="1:15">
      <c r="A41" s="5"/>
      <c r="B41" s="5"/>
      <c r="C41" s="5"/>
      <c r="D41" s="5"/>
      <c r="E41" s="5"/>
      <c r="F41" s="5"/>
      <c r="G41" s="9"/>
      <c r="H41" s="5"/>
      <c r="I41" s="5"/>
      <c r="J41" s="5"/>
      <c r="K41" s="5"/>
      <c r="L41" s="5"/>
      <c r="N41" s="27" t="e">
        <f>VLOOKUP(D41,Titulares!$A$2:$F$323,5,)</f>
        <v>#N/A</v>
      </c>
      <c r="O41" s="28" t="e">
        <f>VLOOKUP(N41,Titulares!$E$2:$F$323,2,)</f>
        <v>#N/A</v>
      </c>
    </row>
    <row r="42" spans="1:15">
      <c r="A42" s="5"/>
      <c r="B42" s="5"/>
      <c r="C42" s="5"/>
      <c r="D42" s="5"/>
      <c r="E42" s="5"/>
      <c r="F42" s="5"/>
      <c r="G42" s="9"/>
      <c r="H42" s="5"/>
      <c r="I42" s="5"/>
      <c r="J42" s="5"/>
      <c r="K42" s="5"/>
      <c r="L42" s="5"/>
      <c r="N42" s="27" t="e">
        <f>VLOOKUP(D42,Titulares!$A$2:$F$323,5,)</f>
        <v>#N/A</v>
      </c>
      <c r="O42" s="28" t="e">
        <f>VLOOKUP(N42,Titulares!$E$2:$F$323,2,)</f>
        <v>#N/A</v>
      </c>
    </row>
    <row r="43" spans="1:15">
      <c r="A43" s="5"/>
      <c r="B43" s="5"/>
      <c r="C43" s="5"/>
      <c r="D43" s="5"/>
      <c r="E43" s="5"/>
      <c r="F43" s="5"/>
      <c r="G43" s="9"/>
      <c r="H43" s="5"/>
      <c r="I43" s="5"/>
      <c r="J43" s="5"/>
      <c r="K43" s="5"/>
      <c r="L43" s="5"/>
      <c r="N43" s="27" t="e">
        <f>VLOOKUP(D43,Titulares!$A$2:$F$323,5,)</f>
        <v>#N/A</v>
      </c>
      <c r="O43" s="28" t="e">
        <f>VLOOKUP(N43,Titulares!$E$2:$F$323,2,)</f>
        <v>#N/A</v>
      </c>
    </row>
    <row r="44" spans="1:15">
      <c r="A44" s="5"/>
      <c r="B44" s="5"/>
      <c r="C44" s="5"/>
      <c r="D44" s="5"/>
      <c r="E44" s="5"/>
      <c r="F44" s="5"/>
      <c r="G44" s="9"/>
      <c r="H44" s="5"/>
      <c r="I44" s="5"/>
      <c r="J44" s="5"/>
      <c r="K44" s="5"/>
      <c r="L44" s="5"/>
      <c r="N44" s="27" t="e">
        <f>VLOOKUP(D44,Titulares!$A$2:$F$323,5,)</f>
        <v>#N/A</v>
      </c>
      <c r="O44" s="28" t="e">
        <f>VLOOKUP(N44,Titulares!$E$2:$F$323,2,)</f>
        <v>#N/A</v>
      </c>
    </row>
    <row r="45" spans="1:15">
      <c r="A45" s="5"/>
      <c r="B45" s="5"/>
      <c r="C45" s="5"/>
      <c r="D45" s="5"/>
      <c r="E45" s="5"/>
      <c r="F45" s="5"/>
      <c r="G45" s="9"/>
      <c r="H45" s="5"/>
      <c r="I45" s="5"/>
      <c r="J45" s="5"/>
      <c r="K45" s="5"/>
      <c r="L45" s="5"/>
      <c r="N45" s="27" t="e">
        <f>VLOOKUP(D45,Titulares!$A$2:$F$323,5,)</f>
        <v>#N/A</v>
      </c>
      <c r="O45" s="28" t="e">
        <f>VLOOKUP(N45,Titulares!$E$2:$F$323,2,)</f>
        <v>#N/A</v>
      </c>
    </row>
    <row r="46" spans="1:15">
      <c r="A46" s="5"/>
      <c r="B46" s="5"/>
      <c r="C46" s="5"/>
      <c r="D46" s="5"/>
      <c r="E46" s="5"/>
      <c r="F46" s="5"/>
      <c r="G46" s="9"/>
      <c r="H46" s="5"/>
      <c r="I46" s="5"/>
      <c r="J46" s="5"/>
      <c r="K46" s="5"/>
      <c r="L46" s="5"/>
      <c r="N46" s="27" t="e">
        <f>VLOOKUP(D46,Titulares!$A$2:$F$323,5,)</f>
        <v>#N/A</v>
      </c>
      <c r="O46" s="28" t="e">
        <f>VLOOKUP(N46,Titulares!$E$2:$F$323,2,)</f>
        <v>#N/A</v>
      </c>
    </row>
    <row r="47" spans="1:15">
      <c r="A47" s="5"/>
      <c r="B47" s="5"/>
      <c r="C47" s="5"/>
      <c r="D47" s="5"/>
      <c r="E47" s="5"/>
      <c r="F47" s="5"/>
      <c r="G47" s="9"/>
      <c r="H47" s="5"/>
      <c r="I47" s="5"/>
      <c r="J47" s="5"/>
      <c r="K47" s="5"/>
      <c r="L47" s="5"/>
      <c r="N47" s="27" t="e">
        <f>VLOOKUP(D47,Titulares!$A$2:$F$323,5,)</f>
        <v>#N/A</v>
      </c>
      <c r="O47" s="28" t="e">
        <f>VLOOKUP(N47,Titulares!$E$2:$F$323,2,)</f>
        <v>#N/A</v>
      </c>
    </row>
    <row r="48" spans="1:15">
      <c r="A48" s="5"/>
      <c r="B48" s="5"/>
      <c r="C48" s="5"/>
      <c r="D48" s="5"/>
      <c r="E48" s="5"/>
      <c r="F48" s="5"/>
      <c r="G48" s="9"/>
      <c r="H48" s="5"/>
      <c r="I48" s="5"/>
      <c r="J48" s="5"/>
      <c r="K48" s="5"/>
      <c r="L48" s="5"/>
      <c r="N48" s="27" t="e">
        <f>VLOOKUP(D48,Titulares!$A$2:$F$323,5,)</f>
        <v>#N/A</v>
      </c>
      <c r="O48" s="28" t="e">
        <f>VLOOKUP(N48,Titulares!$E$2:$F$323,2,)</f>
        <v>#N/A</v>
      </c>
    </row>
    <row r="49" spans="1:15">
      <c r="A49" s="5"/>
      <c r="B49" s="5"/>
      <c r="C49" s="5"/>
      <c r="D49" s="5"/>
      <c r="E49" s="5"/>
      <c r="F49" s="5"/>
      <c r="G49" s="9"/>
      <c r="H49" s="5"/>
      <c r="I49" s="5"/>
      <c r="J49" s="5"/>
      <c r="K49" s="5"/>
      <c r="L49" s="5"/>
      <c r="N49" s="27" t="e">
        <f>VLOOKUP(D49,Titulares!$A$2:$F$323,5,)</f>
        <v>#N/A</v>
      </c>
      <c r="O49" s="28" t="e">
        <f>VLOOKUP(N49,Titulares!$E$2:$F$323,2,)</f>
        <v>#N/A</v>
      </c>
    </row>
    <row r="50" spans="1:15">
      <c r="A50" s="5"/>
      <c r="B50" s="5"/>
      <c r="C50" s="5"/>
      <c r="D50" s="5"/>
      <c r="E50" s="5"/>
      <c r="F50" s="5"/>
      <c r="G50" s="9"/>
      <c r="H50" s="5"/>
      <c r="I50" s="5"/>
      <c r="J50" s="5"/>
      <c r="K50" s="5"/>
      <c r="L50" s="5"/>
      <c r="N50" s="27" t="e">
        <f>VLOOKUP(D50,Titulares!$A$2:$F$323,5,)</f>
        <v>#N/A</v>
      </c>
      <c r="O50" s="28" t="e">
        <f>VLOOKUP(N50,Titulares!$E$2:$F$323,2,)</f>
        <v>#N/A</v>
      </c>
    </row>
    <row r="51" spans="1:15">
      <c r="A51" s="5"/>
      <c r="B51" s="5"/>
      <c r="C51" s="5"/>
      <c r="D51" s="5"/>
      <c r="E51" s="5"/>
      <c r="F51" s="5"/>
      <c r="G51" s="9"/>
      <c r="H51" s="5"/>
      <c r="I51" s="5"/>
      <c r="J51" s="5"/>
      <c r="K51" s="5"/>
      <c r="L51" s="5"/>
      <c r="N51" s="27" t="e">
        <f>VLOOKUP(D51,Titulares!$A$2:$F$323,5,)</f>
        <v>#N/A</v>
      </c>
      <c r="O51" s="28" t="e">
        <f>VLOOKUP(N51,Titulares!$E$2:$F$323,2,)</f>
        <v>#N/A</v>
      </c>
    </row>
    <row r="52" spans="1:15">
      <c r="A52" s="5"/>
      <c r="B52" s="5"/>
      <c r="C52" s="5"/>
      <c r="D52" s="5"/>
      <c r="E52" s="5"/>
      <c r="F52" s="5"/>
      <c r="G52" s="9"/>
      <c r="H52" s="5"/>
      <c r="I52" s="5"/>
      <c r="J52" s="5"/>
      <c r="K52" s="5"/>
      <c r="L52" s="5"/>
      <c r="N52" s="27" t="e">
        <f>VLOOKUP(D52,Titulares!$A$2:$F$323,5,)</f>
        <v>#N/A</v>
      </c>
      <c r="O52" s="28" t="e">
        <f>VLOOKUP(N52,Titulares!$E$2:$F$323,2,)</f>
        <v>#N/A</v>
      </c>
    </row>
    <row r="53" spans="1:15">
      <c r="A53" s="5"/>
      <c r="B53" s="5"/>
      <c r="C53" s="5"/>
      <c r="D53" s="5"/>
      <c r="E53" s="5"/>
      <c r="F53" s="5"/>
      <c r="G53" s="9"/>
      <c r="H53" s="5"/>
      <c r="I53" s="5"/>
      <c r="J53" s="5"/>
      <c r="K53" s="5"/>
      <c r="L53" s="5"/>
      <c r="N53" s="27" t="e">
        <f>VLOOKUP(D53,Titulares!$A$2:$F$323,5,)</f>
        <v>#N/A</v>
      </c>
      <c r="O53" s="28" t="e">
        <f>VLOOKUP(N53,Titulares!$E$2:$F$323,2,)</f>
        <v>#N/A</v>
      </c>
    </row>
    <row r="54" spans="1:15">
      <c r="A54" s="5"/>
      <c r="B54" s="5"/>
      <c r="C54" s="5"/>
      <c r="D54" s="5"/>
      <c r="E54" s="5"/>
      <c r="F54" s="5"/>
      <c r="G54" s="9"/>
      <c r="H54" s="5"/>
      <c r="I54" s="5"/>
      <c r="J54" s="5"/>
      <c r="K54" s="5"/>
      <c r="L54" s="5"/>
      <c r="N54" s="27" t="e">
        <f>VLOOKUP(D54,Titulares!$A$2:$F$323,5,)</f>
        <v>#N/A</v>
      </c>
      <c r="O54" s="28" t="e">
        <f>VLOOKUP(N54,Titulares!$E$2:$F$323,2,)</f>
        <v>#N/A</v>
      </c>
    </row>
    <row r="55" spans="1:15">
      <c r="A55" s="5"/>
      <c r="B55" s="5"/>
      <c r="C55" s="5"/>
      <c r="D55" s="5"/>
      <c r="E55" s="5"/>
      <c r="F55" s="5"/>
      <c r="G55" s="9"/>
      <c r="H55" s="5"/>
      <c r="I55" s="5"/>
      <c r="J55" s="5"/>
      <c r="K55" s="5"/>
      <c r="L55" s="5"/>
      <c r="N55" s="27" t="e">
        <f>VLOOKUP(D55,Titulares!$A$2:$F$323,5,)</f>
        <v>#N/A</v>
      </c>
      <c r="O55" s="28" t="e">
        <f>VLOOKUP(N55,Titulares!$E$2:$F$323,2,)</f>
        <v>#N/A</v>
      </c>
    </row>
  </sheetData>
  <pageMargins left="0.7" right="0.7" top="0.75" bottom="0.75" header="0.3" footer="0.3"/>
  <pageSetup orientation="portrait" r:id="rId1"/>
  <headerFooter>
    <oddFooter>&amp;C_x000D_&amp;1#&amp;"Calibri"&amp;10&amp;K000000 Clasificación: Interno, no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FD80-6553-44A6-A91B-B32190855A4E}">
  <sheetPr>
    <tabColor rgb="FF002060"/>
  </sheetPr>
  <dimension ref="A1:L29"/>
  <sheetViews>
    <sheetView topLeftCell="A12" workbookViewId="0">
      <selection activeCell="B29" sqref="B29"/>
    </sheetView>
  </sheetViews>
  <sheetFormatPr baseColWidth="10" defaultRowHeight="15"/>
  <cols>
    <col min="1" max="1" width="11.85546875" customWidth="1"/>
    <col min="2" max="2" width="69.85546875" customWidth="1"/>
    <col min="3" max="3" width="8.7109375" style="58" customWidth="1"/>
    <col min="4" max="4" width="11" style="58" bestFit="1" customWidth="1"/>
    <col min="5" max="5" width="8.7109375" style="58" customWidth="1"/>
    <col min="6" max="6" width="29" style="58" customWidth="1"/>
    <col min="7" max="7" width="8.7109375" customWidth="1"/>
    <col min="8" max="8" width="29" customWidth="1"/>
    <col min="9" max="9" width="8.7109375" customWidth="1"/>
    <col min="10" max="10" width="29" customWidth="1"/>
    <col min="11" max="11" width="8.7109375" customWidth="1"/>
    <col min="12" max="12" width="29" customWidth="1"/>
  </cols>
  <sheetData>
    <row r="1" spans="1:12" ht="24" customHeight="1">
      <c r="A1" s="10" t="s">
        <v>39</v>
      </c>
      <c r="B1" s="10" t="s">
        <v>40</v>
      </c>
      <c r="C1" s="57" t="s">
        <v>1</v>
      </c>
      <c r="D1" s="57" t="s">
        <v>41</v>
      </c>
      <c r="E1" s="57" t="s">
        <v>42</v>
      </c>
      <c r="F1" s="57" t="s">
        <v>43</v>
      </c>
      <c r="G1" s="10"/>
      <c r="H1" s="10"/>
      <c r="I1" s="10"/>
      <c r="J1" s="10"/>
      <c r="K1" s="10"/>
      <c r="L1" s="10"/>
    </row>
    <row r="2" spans="1:12">
      <c r="A2" s="5" t="s">
        <v>219</v>
      </c>
      <c r="B2" s="5" t="s">
        <v>220</v>
      </c>
      <c r="C2" s="56" t="s">
        <v>201</v>
      </c>
      <c r="D2" s="56" t="s">
        <v>219</v>
      </c>
      <c r="E2" s="58">
        <v>8051301</v>
      </c>
      <c r="F2" s="58" t="s">
        <v>202</v>
      </c>
    </row>
    <row r="3" spans="1:12">
      <c r="A3" s="5" t="s">
        <v>213</v>
      </c>
      <c r="B3" s="5" t="s">
        <v>214</v>
      </c>
      <c r="C3" s="56" t="s">
        <v>201</v>
      </c>
      <c r="D3" s="56" t="s">
        <v>213</v>
      </c>
      <c r="E3" s="58">
        <v>1060603</v>
      </c>
      <c r="F3" s="58" t="s">
        <v>236</v>
      </c>
    </row>
    <row r="4" spans="1:12">
      <c r="A4" s="5" t="s">
        <v>215</v>
      </c>
      <c r="B4" s="5" t="s">
        <v>216</v>
      </c>
      <c r="C4" s="56" t="s">
        <v>201</v>
      </c>
      <c r="D4" s="56" t="s">
        <v>215</v>
      </c>
      <c r="E4" s="58">
        <v>1060603</v>
      </c>
      <c r="F4" s="58" t="s">
        <v>236</v>
      </c>
    </row>
    <row r="5" spans="1:12">
      <c r="A5" s="5" t="s">
        <v>231</v>
      </c>
      <c r="B5" s="5" t="s">
        <v>232</v>
      </c>
      <c r="C5" s="56" t="s">
        <v>201</v>
      </c>
      <c r="D5" s="56" t="s">
        <v>231</v>
      </c>
      <c r="E5" s="58">
        <v>8050605</v>
      </c>
      <c r="F5" s="58" t="s">
        <v>237</v>
      </c>
    </row>
    <row r="6" spans="1:12">
      <c r="A6" s="5" t="s">
        <v>225</v>
      </c>
      <c r="B6" s="5" t="s">
        <v>226</v>
      </c>
      <c r="C6" s="56" t="s">
        <v>201</v>
      </c>
      <c r="D6" s="56" t="s">
        <v>225</v>
      </c>
      <c r="E6" s="58">
        <v>1060603</v>
      </c>
      <c r="F6" s="58" t="s">
        <v>236</v>
      </c>
    </row>
    <row r="7" spans="1:12">
      <c r="A7" s="5" t="s">
        <v>227</v>
      </c>
      <c r="B7" s="5" t="s">
        <v>228</v>
      </c>
      <c r="C7" s="56" t="s">
        <v>201</v>
      </c>
      <c r="D7" s="56" t="s">
        <v>227</v>
      </c>
      <c r="E7" s="58">
        <v>1060603</v>
      </c>
      <c r="F7" s="58" t="s">
        <v>236</v>
      </c>
    </row>
    <row r="8" spans="1:12">
      <c r="A8" s="5" t="s">
        <v>229</v>
      </c>
      <c r="B8" s="5" t="s">
        <v>230</v>
      </c>
      <c r="C8" s="56" t="s">
        <v>201</v>
      </c>
      <c r="D8" s="56" t="s">
        <v>229</v>
      </c>
      <c r="E8" s="58">
        <v>8040402</v>
      </c>
      <c r="F8" s="58" t="s">
        <v>238</v>
      </c>
    </row>
    <row r="9" spans="1:12">
      <c r="A9" s="5" t="s">
        <v>165</v>
      </c>
      <c r="B9" s="5" t="s">
        <v>161</v>
      </c>
      <c r="C9" s="56" t="s">
        <v>201</v>
      </c>
      <c r="D9" s="56" t="s">
        <v>165</v>
      </c>
      <c r="E9" s="58">
        <v>8050501</v>
      </c>
      <c r="F9" s="58" t="s">
        <v>235</v>
      </c>
    </row>
    <row r="10" spans="1:12">
      <c r="A10" s="5" t="s">
        <v>221</v>
      </c>
      <c r="B10" s="5" t="s">
        <v>222</v>
      </c>
      <c r="C10" s="56" t="s">
        <v>201</v>
      </c>
      <c r="D10" s="56" t="s">
        <v>221</v>
      </c>
      <c r="E10" s="58">
        <v>1060603</v>
      </c>
      <c r="F10" s="58" t="s">
        <v>236</v>
      </c>
    </row>
    <row r="11" spans="1:12">
      <c r="A11" s="5" t="s">
        <v>217</v>
      </c>
      <c r="B11" s="5" t="s">
        <v>218</v>
      </c>
      <c r="C11" s="56" t="s">
        <v>201</v>
      </c>
      <c r="D11" s="56" t="s">
        <v>217</v>
      </c>
      <c r="E11" s="58">
        <v>1060603</v>
      </c>
      <c r="F11" s="58" t="s">
        <v>236</v>
      </c>
    </row>
    <row r="12" spans="1:12">
      <c r="A12" s="5" t="s">
        <v>223</v>
      </c>
      <c r="B12" s="5" t="s">
        <v>224</v>
      </c>
      <c r="C12" s="56" t="s">
        <v>201</v>
      </c>
      <c r="D12" s="56" t="s">
        <v>223</v>
      </c>
      <c r="E12" s="58">
        <v>1060603</v>
      </c>
      <c r="F12" s="58" t="s">
        <v>236</v>
      </c>
    </row>
    <row r="13" spans="1:12">
      <c r="A13" s="5" t="s">
        <v>243</v>
      </c>
      <c r="B13" s="5" t="s">
        <v>244</v>
      </c>
      <c r="C13" s="56" t="s">
        <v>201</v>
      </c>
      <c r="D13" s="5" t="s">
        <v>243</v>
      </c>
      <c r="E13" s="58">
        <v>8040402</v>
      </c>
      <c r="F13" s="58" t="s">
        <v>238</v>
      </c>
    </row>
    <row r="14" spans="1:12">
      <c r="A14" s="5" t="s">
        <v>245</v>
      </c>
      <c r="B14" s="5" t="s">
        <v>246</v>
      </c>
      <c r="C14" s="56" t="s">
        <v>201</v>
      </c>
      <c r="D14" s="5" t="s">
        <v>245</v>
      </c>
      <c r="E14" s="58">
        <v>8040402</v>
      </c>
      <c r="F14" s="58" t="s">
        <v>238</v>
      </c>
      <c r="G14" s="58"/>
    </row>
    <row r="15" spans="1:12">
      <c r="A15" s="5" t="s">
        <v>247</v>
      </c>
      <c r="B15" s="5" t="s">
        <v>248</v>
      </c>
      <c r="C15" s="56" t="s">
        <v>201</v>
      </c>
      <c r="D15" s="5" t="s">
        <v>247</v>
      </c>
      <c r="E15" s="58">
        <v>8040402</v>
      </c>
      <c r="F15" s="58" t="s">
        <v>238</v>
      </c>
      <c r="G15" s="58"/>
    </row>
    <row r="16" spans="1:12">
      <c r="A16" s="5" t="s">
        <v>250</v>
      </c>
      <c r="B16" s="5" t="s">
        <v>251</v>
      </c>
      <c r="C16" s="56" t="s">
        <v>201</v>
      </c>
      <c r="D16" s="5" t="s">
        <v>250</v>
      </c>
      <c r="E16" s="58">
        <v>8040703</v>
      </c>
      <c r="F16" s="58" t="s">
        <v>289</v>
      </c>
      <c r="G16" s="58"/>
    </row>
    <row r="17" spans="1:7">
      <c r="A17" s="5" t="s">
        <v>252</v>
      </c>
      <c r="B17" s="5" t="s">
        <v>253</v>
      </c>
      <c r="C17" s="56" t="s">
        <v>201</v>
      </c>
      <c r="D17" s="5" t="s">
        <v>252</v>
      </c>
      <c r="E17" s="58">
        <v>1060603</v>
      </c>
      <c r="F17" s="58" t="s">
        <v>236</v>
      </c>
      <c r="G17" s="58"/>
    </row>
    <row r="18" spans="1:7">
      <c r="A18" s="5" t="s">
        <v>256</v>
      </c>
      <c r="B18" s="5" t="s">
        <v>257</v>
      </c>
      <c r="C18" s="56" t="s">
        <v>201</v>
      </c>
      <c r="D18" s="5" t="s">
        <v>256</v>
      </c>
      <c r="E18" s="58">
        <v>1060603</v>
      </c>
      <c r="F18" s="58" t="s">
        <v>236</v>
      </c>
      <c r="G18" s="58"/>
    </row>
    <row r="19" spans="1:7">
      <c r="A19" s="5" t="s">
        <v>258</v>
      </c>
      <c r="B19" s="5" t="s">
        <v>259</v>
      </c>
      <c r="C19" s="56" t="s">
        <v>201</v>
      </c>
      <c r="D19" s="5" t="s">
        <v>258</v>
      </c>
      <c r="E19" s="58">
        <v>8040402</v>
      </c>
      <c r="F19" s="58" t="s">
        <v>238</v>
      </c>
      <c r="G19" s="58"/>
    </row>
    <row r="20" spans="1:7">
      <c r="A20" s="5" t="s">
        <v>254</v>
      </c>
      <c r="B20" s="5" t="s">
        <v>255</v>
      </c>
      <c r="C20" s="56" t="s">
        <v>201</v>
      </c>
      <c r="D20" s="5" t="s">
        <v>254</v>
      </c>
      <c r="E20" s="58">
        <v>1060603</v>
      </c>
      <c r="F20" s="58" t="s">
        <v>236</v>
      </c>
      <c r="G20" s="58"/>
    </row>
    <row r="21" spans="1:7">
      <c r="A21" s="5" t="s">
        <v>260</v>
      </c>
      <c r="B21" s="5" t="s">
        <v>261</v>
      </c>
      <c r="C21" s="56" t="s">
        <v>201</v>
      </c>
      <c r="D21" s="5" t="s">
        <v>260</v>
      </c>
      <c r="E21" s="58">
        <v>8051001</v>
      </c>
      <c r="F21" s="58" t="s">
        <v>290</v>
      </c>
      <c r="G21" s="58"/>
    </row>
    <row r="22" spans="1:7">
      <c r="A22" s="5" t="s">
        <v>262</v>
      </c>
      <c r="B22" s="5" t="s">
        <v>263</v>
      </c>
      <c r="C22" s="56" t="s">
        <v>201</v>
      </c>
      <c r="D22" s="5" t="s">
        <v>262</v>
      </c>
      <c r="E22" s="58">
        <v>1060603</v>
      </c>
      <c r="F22" s="58" t="s">
        <v>236</v>
      </c>
      <c r="G22" s="58"/>
    </row>
    <row r="23" spans="1:7">
      <c r="A23" s="5" t="s">
        <v>264</v>
      </c>
      <c r="B23" s="5" t="s">
        <v>265</v>
      </c>
      <c r="C23" s="56" t="s">
        <v>201</v>
      </c>
      <c r="D23" s="5" t="s">
        <v>264</v>
      </c>
      <c r="E23" s="58">
        <v>8040402</v>
      </c>
      <c r="F23" s="58" t="s">
        <v>238</v>
      </c>
      <c r="G23" s="58"/>
    </row>
    <row r="24" spans="1:7">
      <c r="A24" s="5" t="s">
        <v>266</v>
      </c>
      <c r="B24" s="5" t="s">
        <v>267</v>
      </c>
      <c r="C24" s="56" t="s">
        <v>201</v>
      </c>
      <c r="D24" s="5" t="s">
        <v>266</v>
      </c>
      <c r="E24" s="58">
        <v>1060603</v>
      </c>
      <c r="F24" s="58" t="s">
        <v>236</v>
      </c>
      <c r="G24" s="58"/>
    </row>
    <row r="25" spans="1:7" ht="16.5" customHeight="1">
      <c r="A25" s="5" t="s">
        <v>268</v>
      </c>
      <c r="B25" s="5" t="s">
        <v>269</v>
      </c>
      <c r="C25" s="56" t="s">
        <v>201</v>
      </c>
      <c r="D25" s="5" t="s">
        <v>268</v>
      </c>
      <c r="E25" s="58">
        <v>1060603</v>
      </c>
      <c r="F25" s="58" t="s">
        <v>236</v>
      </c>
      <c r="G25" s="58"/>
    </row>
    <row r="26" spans="1:7" ht="16.5" customHeight="1">
      <c r="A26" s="5" t="s">
        <v>270</v>
      </c>
      <c r="B26" s="5" t="s">
        <v>271</v>
      </c>
      <c r="C26" s="56" t="s">
        <v>201</v>
      </c>
      <c r="D26" s="5" t="s">
        <v>270</v>
      </c>
      <c r="E26" s="58">
        <v>8040703</v>
      </c>
      <c r="F26" s="58" t="s">
        <v>289</v>
      </c>
      <c r="G26" s="58"/>
    </row>
    <row r="27" spans="1:7" ht="16.5" customHeight="1">
      <c r="A27" s="5" t="s">
        <v>272</v>
      </c>
      <c r="B27" s="5" t="s">
        <v>273</v>
      </c>
      <c r="C27" s="56" t="s">
        <v>201</v>
      </c>
      <c r="D27" s="5" t="s">
        <v>272</v>
      </c>
      <c r="E27" s="58">
        <v>8050803</v>
      </c>
      <c r="F27" s="58" t="s">
        <v>291</v>
      </c>
      <c r="G27" s="58"/>
    </row>
    <row r="28" spans="1:7" ht="16.5" customHeight="1">
      <c r="A28" s="5" t="s">
        <v>274</v>
      </c>
      <c r="B28" s="5" t="s">
        <v>275</v>
      </c>
      <c r="C28" s="56" t="s">
        <v>201</v>
      </c>
      <c r="D28" s="5" t="s">
        <v>274</v>
      </c>
      <c r="E28" s="58">
        <v>8050112</v>
      </c>
      <c r="F28" s="58" t="s">
        <v>292</v>
      </c>
      <c r="G28" s="58"/>
    </row>
    <row r="29" spans="1:7" ht="16.5" customHeight="1">
      <c r="A29" s="5"/>
      <c r="B29" s="5"/>
      <c r="C29" s="56"/>
      <c r="D29" s="5"/>
      <c r="G29" s="58"/>
    </row>
  </sheetData>
  <autoFilter ref="A1:F7" xr:uid="{F6B0FD80-6553-44A6-A91B-B32190855A4E}">
    <sortState xmlns:xlrd2="http://schemas.microsoft.com/office/spreadsheetml/2017/richdata2" ref="A2:F20">
      <sortCondition ref="B1:B7"/>
    </sortState>
  </autoFilter>
  <pageMargins left="0.7" right="0.7" top="0.75" bottom="0.75" header="0.3" footer="0.3"/>
  <pageSetup paperSize="9" orientation="portrait" r:id="rId1"/>
  <headerFooter>
    <oddFooter>&amp;C_x000D_&amp;1#&amp;"Calibri"&amp;10&amp;K000000 Clasificación: Interno, no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2E72-A091-49AF-99DA-C5C25A32E8B3}">
  <sheetPr>
    <tabColor theme="5"/>
  </sheetPr>
  <dimension ref="A1:AA27"/>
  <sheetViews>
    <sheetView zoomScaleNormal="100" workbookViewId="0">
      <selection activeCell="J12" sqref="J12"/>
    </sheetView>
  </sheetViews>
  <sheetFormatPr baseColWidth="10" defaultRowHeight="15"/>
  <cols>
    <col min="8" max="8" width="18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164</v>
      </c>
      <c r="I1" t="s">
        <v>166</v>
      </c>
      <c r="J1" t="s">
        <v>7</v>
      </c>
      <c r="K1" t="s">
        <v>8</v>
      </c>
      <c r="L1" t="s">
        <v>9</v>
      </c>
      <c r="M1" t="s">
        <v>10</v>
      </c>
      <c r="N1" t="s">
        <v>167</v>
      </c>
      <c r="O1" t="s">
        <v>11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  <c r="Y1" t="s">
        <v>177</v>
      </c>
      <c r="Z1" t="s">
        <v>178</v>
      </c>
      <c r="AA1" t="s">
        <v>179</v>
      </c>
    </row>
    <row r="2" spans="1:27">
      <c r="A2">
        <v>1</v>
      </c>
      <c r="B2">
        <v>33</v>
      </c>
      <c r="C2" t="s">
        <v>15</v>
      </c>
      <c r="D2" t="s">
        <v>270</v>
      </c>
      <c r="E2" t="s">
        <v>271</v>
      </c>
      <c r="F2">
        <v>230611</v>
      </c>
      <c r="G2" s="33">
        <v>45252</v>
      </c>
      <c r="H2" s="34">
        <v>45252.719664351855</v>
      </c>
      <c r="J2">
        <v>615760</v>
      </c>
      <c r="K2">
        <v>17900</v>
      </c>
      <c r="L2">
        <v>3401</v>
      </c>
      <c r="O2">
        <v>637061</v>
      </c>
      <c r="T2">
        <v>0</v>
      </c>
      <c r="X2">
        <v>0</v>
      </c>
    </row>
    <row r="3" spans="1:27">
      <c r="A3">
        <v>2</v>
      </c>
      <c r="B3">
        <v>33</v>
      </c>
      <c r="C3" t="s">
        <v>15</v>
      </c>
      <c r="D3" t="s">
        <v>270</v>
      </c>
      <c r="E3" t="s">
        <v>271</v>
      </c>
      <c r="F3">
        <v>230612</v>
      </c>
      <c r="G3" s="33">
        <v>45252</v>
      </c>
      <c r="H3" s="34">
        <v>45252.72</v>
      </c>
      <c r="J3">
        <v>217485</v>
      </c>
      <c r="K3">
        <v>17900</v>
      </c>
      <c r="L3">
        <v>3401</v>
      </c>
      <c r="O3">
        <v>238786</v>
      </c>
      <c r="T3">
        <v>0</v>
      </c>
      <c r="X3">
        <v>0</v>
      </c>
    </row>
    <row r="4" spans="1:27">
      <c r="A4">
        <v>3</v>
      </c>
      <c r="B4">
        <v>33</v>
      </c>
      <c r="C4" t="s">
        <v>15</v>
      </c>
      <c r="D4" t="s">
        <v>213</v>
      </c>
      <c r="E4" t="s">
        <v>214</v>
      </c>
      <c r="F4">
        <v>952</v>
      </c>
      <c r="G4" s="33">
        <v>45253</v>
      </c>
      <c r="H4" s="34">
        <v>45253.539467592593</v>
      </c>
      <c r="J4">
        <v>0</v>
      </c>
      <c r="K4">
        <v>219179</v>
      </c>
      <c r="L4">
        <v>41644</v>
      </c>
      <c r="O4">
        <v>260823</v>
      </c>
      <c r="T4">
        <v>0</v>
      </c>
      <c r="X4">
        <v>0</v>
      </c>
    </row>
    <row r="5" spans="1:27">
      <c r="A5">
        <v>4</v>
      </c>
      <c r="B5">
        <v>33</v>
      </c>
      <c r="C5" t="s">
        <v>15</v>
      </c>
      <c r="D5" t="s">
        <v>231</v>
      </c>
      <c r="E5" t="s">
        <v>232</v>
      </c>
      <c r="F5">
        <v>96</v>
      </c>
      <c r="G5" s="33">
        <v>45257</v>
      </c>
      <c r="H5" s="34">
        <v>45257.919953703706</v>
      </c>
      <c r="J5">
        <v>0</v>
      </c>
      <c r="K5">
        <v>67227</v>
      </c>
      <c r="L5">
        <v>12773</v>
      </c>
      <c r="O5">
        <v>80000</v>
      </c>
      <c r="T5">
        <v>0</v>
      </c>
      <c r="X5">
        <v>0</v>
      </c>
    </row>
    <row r="6" spans="1:27">
      <c r="A6">
        <v>5</v>
      </c>
      <c r="B6">
        <v>33</v>
      </c>
      <c r="C6" t="s">
        <v>15</v>
      </c>
      <c r="D6" t="s">
        <v>272</v>
      </c>
      <c r="E6" t="s">
        <v>273</v>
      </c>
      <c r="F6">
        <v>343259</v>
      </c>
      <c r="G6" s="33">
        <v>45259</v>
      </c>
      <c r="H6" s="34">
        <v>45259.706736111111</v>
      </c>
      <c r="J6">
        <v>0</v>
      </c>
      <c r="K6">
        <v>202813239</v>
      </c>
      <c r="L6">
        <v>38534515</v>
      </c>
      <c r="O6">
        <v>241347754</v>
      </c>
      <c r="T6">
        <v>0</v>
      </c>
      <c r="X6">
        <v>0</v>
      </c>
    </row>
    <row r="7" spans="1:27">
      <c r="A7">
        <v>21</v>
      </c>
      <c r="B7">
        <v>34</v>
      </c>
      <c r="C7" t="s">
        <v>15</v>
      </c>
      <c r="D7" t="s">
        <v>165</v>
      </c>
      <c r="E7" t="s">
        <v>161</v>
      </c>
      <c r="F7">
        <v>1331</v>
      </c>
      <c r="G7" s="33">
        <v>45261</v>
      </c>
      <c r="H7" s="34">
        <v>45261.632395833331</v>
      </c>
      <c r="J7">
        <v>1043472</v>
      </c>
      <c r="K7">
        <v>0</v>
      </c>
      <c r="L7">
        <v>0</v>
      </c>
      <c r="O7">
        <v>1043472</v>
      </c>
      <c r="T7">
        <v>0</v>
      </c>
      <c r="X7">
        <v>0</v>
      </c>
    </row>
    <row r="8" spans="1:27">
      <c r="A8">
        <v>6</v>
      </c>
      <c r="B8">
        <v>33</v>
      </c>
      <c r="C8" t="s">
        <v>15</v>
      </c>
      <c r="D8" t="s">
        <v>264</v>
      </c>
      <c r="E8" t="s">
        <v>265</v>
      </c>
      <c r="F8">
        <v>19897331</v>
      </c>
      <c r="G8" s="33">
        <v>45261</v>
      </c>
      <c r="H8" s="34">
        <v>45261.892141203702</v>
      </c>
      <c r="J8">
        <v>0</v>
      </c>
      <c r="K8">
        <v>19080</v>
      </c>
      <c r="L8">
        <v>3626</v>
      </c>
      <c r="O8">
        <v>24416</v>
      </c>
      <c r="T8">
        <v>0</v>
      </c>
      <c r="X8">
        <v>0</v>
      </c>
      <c r="Y8">
        <v>271</v>
      </c>
      <c r="Z8">
        <v>1710</v>
      </c>
      <c r="AA8">
        <v>18</v>
      </c>
    </row>
    <row r="9" spans="1:27">
      <c r="A9">
        <v>7</v>
      </c>
      <c r="B9">
        <v>33</v>
      </c>
      <c r="C9" t="s">
        <v>15</v>
      </c>
      <c r="D9" t="s">
        <v>264</v>
      </c>
      <c r="E9" t="s">
        <v>265</v>
      </c>
      <c r="F9">
        <v>19897339</v>
      </c>
      <c r="G9" s="33">
        <v>45263</v>
      </c>
      <c r="H9" s="34">
        <v>45263.691493055558</v>
      </c>
      <c r="J9">
        <v>0</v>
      </c>
      <c r="K9">
        <v>79934</v>
      </c>
      <c r="L9">
        <v>15188</v>
      </c>
      <c r="O9">
        <v>97430</v>
      </c>
      <c r="T9">
        <v>0</v>
      </c>
      <c r="X9">
        <v>0</v>
      </c>
      <c r="Y9">
        <v>271</v>
      </c>
      <c r="Z9">
        <v>1971</v>
      </c>
      <c r="AA9">
        <v>18</v>
      </c>
    </row>
    <row r="10" spans="1:27">
      <c r="A10">
        <v>8</v>
      </c>
      <c r="B10">
        <v>33</v>
      </c>
      <c r="C10" t="s">
        <v>15</v>
      </c>
      <c r="D10" t="s">
        <v>219</v>
      </c>
      <c r="E10" t="s">
        <v>220</v>
      </c>
      <c r="F10">
        <v>6413164</v>
      </c>
      <c r="G10" s="33">
        <v>45267</v>
      </c>
      <c r="H10" s="34">
        <v>45267.464791666665</v>
      </c>
      <c r="J10">
        <v>0</v>
      </c>
      <c r="K10">
        <v>731</v>
      </c>
      <c r="L10">
        <v>139</v>
      </c>
      <c r="O10">
        <v>870</v>
      </c>
      <c r="T10">
        <v>0</v>
      </c>
      <c r="X10">
        <v>0</v>
      </c>
    </row>
    <row r="11" spans="1:27">
      <c r="A11">
        <v>22</v>
      </c>
      <c r="B11">
        <v>34</v>
      </c>
      <c r="C11" t="s">
        <v>15</v>
      </c>
      <c r="D11" t="s">
        <v>219</v>
      </c>
      <c r="E11" t="s">
        <v>220</v>
      </c>
      <c r="F11">
        <v>1805946</v>
      </c>
      <c r="G11" s="33">
        <v>45267</v>
      </c>
      <c r="H11" s="34">
        <v>45267.988425925927</v>
      </c>
      <c r="J11">
        <v>0</v>
      </c>
      <c r="K11">
        <v>0</v>
      </c>
      <c r="L11">
        <v>0</v>
      </c>
      <c r="O11">
        <v>0</v>
      </c>
      <c r="T11">
        <v>0</v>
      </c>
      <c r="X11">
        <v>0</v>
      </c>
    </row>
    <row r="12" spans="1:27">
      <c r="A12">
        <v>9</v>
      </c>
      <c r="B12">
        <v>33</v>
      </c>
      <c r="C12" t="s">
        <v>15</v>
      </c>
      <c r="D12" t="s">
        <v>264</v>
      </c>
      <c r="E12" t="s">
        <v>265</v>
      </c>
      <c r="F12">
        <v>19897358</v>
      </c>
      <c r="G12" s="33">
        <v>45268</v>
      </c>
      <c r="H12" s="34">
        <v>45268.71</v>
      </c>
      <c r="J12">
        <v>0</v>
      </c>
      <c r="K12">
        <v>17634</v>
      </c>
      <c r="L12">
        <v>3350</v>
      </c>
      <c r="O12">
        <v>22025</v>
      </c>
      <c r="T12">
        <v>0</v>
      </c>
      <c r="X12">
        <v>0</v>
      </c>
      <c r="Y12">
        <v>271</v>
      </c>
      <c r="Z12">
        <v>1041</v>
      </c>
      <c r="AA12">
        <v>18</v>
      </c>
    </row>
    <row r="13" spans="1:27">
      <c r="A13">
        <v>23</v>
      </c>
      <c r="B13">
        <v>34</v>
      </c>
      <c r="C13" t="s">
        <v>15</v>
      </c>
      <c r="D13" t="s">
        <v>274</v>
      </c>
      <c r="E13" t="s">
        <v>275</v>
      </c>
      <c r="F13">
        <v>3442</v>
      </c>
      <c r="G13" s="33">
        <v>45271</v>
      </c>
      <c r="H13" s="34">
        <v>45271.477337962962</v>
      </c>
      <c r="J13">
        <v>704000</v>
      </c>
      <c r="K13">
        <v>0</v>
      </c>
      <c r="L13">
        <v>0</v>
      </c>
      <c r="O13">
        <v>704000</v>
      </c>
      <c r="T13">
        <v>0</v>
      </c>
      <c r="X13">
        <v>0</v>
      </c>
    </row>
    <row r="14" spans="1:27">
      <c r="A14">
        <v>10</v>
      </c>
      <c r="B14">
        <v>33</v>
      </c>
      <c r="C14" t="s">
        <v>15</v>
      </c>
      <c r="D14" t="s">
        <v>219</v>
      </c>
      <c r="E14" t="s">
        <v>220</v>
      </c>
      <c r="F14">
        <v>6426323</v>
      </c>
      <c r="G14" s="33">
        <v>45271</v>
      </c>
      <c r="H14" s="34">
        <v>45272.626481481479</v>
      </c>
      <c r="J14">
        <v>0</v>
      </c>
      <c r="K14">
        <v>91422</v>
      </c>
      <c r="L14">
        <v>17370</v>
      </c>
      <c r="O14">
        <v>108792</v>
      </c>
      <c r="T14">
        <v>0</v>
      </c>
      <c r="X14">
        <v>0</v>
      </c>
    </row>
    <row r="15" spans="1:27">
      <c r="A15">
        <v>11</v>
      </c>
      <c r="B15">
        <v>33</v>
      </c>
      <c r="C15" t="s">
        <v>15</v>
      </c>
      <c r="D15" t="s">
        <v>219</v>
      </c>
      <c r="E15" t="s">
        <v>220</v>
      </c>
      <c r="F15">
        <v>6432905</v>
      </c>
      <c r="G15" s="33">
        <v>45273</v>
      </c>
      <c r="H15" s="34">
        <v>45274.592118055552</v>
      </c>
      <c r="J15">
        <v>0</v>
      </c>
      <c r="K15">
        <v>96868</v>
      </c>
      <c r="L15">
        <v>18405</v>
      </c>
      <c r="O15">
        <v>115273</v>
      </c>
      <c r="T15">
        <v>0</v>
      </c>
      <c r="X15">
        <v>0</v>
      </c>
    </row>
    <row r="16" spans="1:27">
      <c r="A16">
        <v>12</v>
      </c>
      <c r="B16">
        <v>33</v>
      </c>
      <c r="C16" t="s">
        <v>15</v>
      </c>
      <c r="D16" t="s">
        <v>231</v>
      </c>
      <c r="E16" t="s">
        <v>232</v>
      </c>
      <c r="F16">
        <v>99</v>
      </c>
      <c r="G16" s="33">
        <v>45274</v>
      </c>
      <c r="H16" s="34">
        <v>45274.980844907404</v>
      </c>
      <c r="J16">
        <v>0</v>
      </c>
      <c r="K16">
        <v>57000</v>
      </c>
      <c r="L16">
        <v>10830</v>
      </c>
      <c r="O16">
        <v>67830</v>
      </c>
      <c r="T16">
        <v>0</v>
      </c>
      <c r="X16">
        <v>0</v>
      </c>
    </row>
    <row r="17" spans="1:24">
      <c r="A17">
        <v>13</v>
      </c>
      <c r="B17">
        <v>33</v>
      </c>
      <c r="C17" t="s">
        <v>15</v>
      </c>
      <c r="D17" t="s">
        <v>223</v>
      </c>
      <c r="E17" t="s">
        <v>224</v>
      </c>
      <c r="F17">
        <v>991115</v>
      </c>
      <c r="G17" s="33">
        <v>45279</v>
      </c>
      <c r="H17" s="34">
        <v>45279.195219907408</v>
      </c>
      <c r="J17">
        <v>0</v>
      </c>
      <c r="K17">
        <v>40517</v>
      </c>
      <c r="L17">
        <v>7698</v>
      </c>
      <c r="O17">
        <v>48215</v>
      </c>
      <c r="T17">
        <v>0</v>
      </c>
      <c r="X17">
        <v>0</v>
      </c>
    </row>
    <row r="18" spans="1:24">
      <c r="A18">
        <v>14</v>
      </c>
      <c r="B18">
        <v>33</v>
      </c>
      <c r="C18" t="s">
        <v>15</v>
      </c>
      <c r="D18" t="s">
        <v>247</v>
      </c>
      <c r="E18" t="s">
        <v>248</v>
      </c>
      <c r="F18">
        <v>128038</v>
      </c>
      <c r="G18" s="33">
        <v>45279</v>
      </c>
      <c r="H18" s="34">
        <v>45279.559363425928</v>
      </c>
      <c r="J18">
        <v>0</v>
      </c>
      <c r="K18">
        <v>6981311</v>
      </c>
      <c r="L18">
        <v>1326449</v>
      </c>
      <c r="O18">
        <v>8307760</v>
      </c>
      <c r="T18">
        <v>0</v>
      </c>
      <c r="X18">
        <v>0</v>
      </c>
    </row>
    <row r="19" spans="1:24">
      <c r="A19">
        <v>15</v>
      </c>
      <c r="B19">
        <v>33</v>
      </c>
      <c r="C19" t="s">
        <v>15</v>
      </c>
      <c r="D19" t="s">
        <v>247</v>
      </c>
      <c r="E19" t="s">
        <v>248</v>
      </c>
      <c r="F19">
        <v>128039</v>
      </c>
      <c r="G19" s="33">
        <v>45279</v>
      </c>
      <c r="H19" s="34">
        <v>45279.560254629629</v>
      </c>
      <c r="J19">
        <v>0</v>
      </c>
      <c r="K19">
        <v>6512813</v>
      </c>
      <c r="L19">
        <v>1237434</v>
      </c>
      <c r="O19">
        <v>7750247</v>
      </c>
      <c r="T19">
        <v>0</v>
      </c>
      <c r="X19">
        <v>0</v>
      </c>
    </row>
    <row r="20" spans="1:24">
      <c r="A20">
        <v>16</v>
      </c>
      <c r="B20">
        <v>33</v>
      </c>
      <c r="C20" t="s">
        <v>15</v>
      </c>
      <c r="D20" t="s">
        <v>247</v>
      </c>
      <c r="E20" t="s">
        <v>248</v>
      </c>
      <c r="F20">
        <v>128040</v>
      </c>
      <c r="G20" s="33">
        <v>45279</v>
      </c>
      <c r="H20" s="34">
        <v>45279.561666666668</v>
      </c>
      <c r="J20">
        <v>0</v>
      </c>
      <c r="K20">
        <v>3281032</v>
      </c>
      <c r="L20">
        <v>623396</v>
      </c>
      <c r="O20">
        <v>3904428</v>
      </c>
      <c r="T20">
        <v>0</v>
      </c>
      <c r="X20">
        <v>0</v>
      </c>
    </row>
    <row r="21" spans="1:24">
      <c r="A21">
        <v>17</v>
      </c>
      <c r="B21">
        <v>33</v>
      </c>
      <c r="C21" t="s">
        <v>15</v>
      </c>
      <c r="D21" t="s">
        <v>247</v>
      </c>
      <c r="E21" t="s">
        <v>248</v>
      </c>
      <c r="F21">
        <v>128043</v>
      </c>
      <c r="G21" s="33">
        <v>45279</v>
      </c>
      <c r="H21" s="34">
        <v>45279.564004629632</v>
      </c>
      <c r="J21">
        <v>0</v>
      </c>
      <c r="K21">
        <v>1540927</v>
      </c>
      <c r="L21">
        <v>292776</v>
      </c>
      <c r="O21">
        <v>1833703</v>
      </c>
      <c r="T21">
        <v>0</v>
      </c>
      <c r="X21">
        <v>0</v>
      </c>
    </row>
    <row r="22" spans="1:24">
      <c r="A22">
        <v>18</v>
      </c>
      <c r="B22">
        <v>33</v>
      </c>
      <c r="C22" t="s">
        <v>15</v>
      </c>
      <c r="D22" t="s">
        <v>219</v>
      </c>
      <c r="E22" t="s">
        <v>220</v>
      </c>
      <c r="F22">
        <v>6441008</v>
      </c>
      <c r="G22" s="33">
        <v>45281</v>
      </c>
      <c r="H22" s="34">
        <v>45282.436956018515</v>
      </c>
      <c r="J22">
        <v>0</v>
      </c>
      <c r="K22">
        <v>95565</v>
      </c>
      <c r="L22">
        <v>18157</v>
      </c>
      <c r="O22">
        <v>113722</v>
      </c>
      <c r="T22">
        <v>0</v>
      </c>
      <c r="X22">
        <v>0</v>
      </c>
    </row>
    <row r="23" spans="1:24">
      <c r="A23">
        <v>19</v>
      </c>
      <c r="B23">
        <v>33</v>
      </c>
      <c r="C23" t="s">
        <v>15</v>
      </c>
      <c r="D23" t="s">
        <v>213</v>
      </c>
      <c r="E23" t="s">
        <v>214</v>
      </c>
      <c r="F23">
        <v>1031</v>
      </c>
      <c r="G23" s="33">
        <v>45282</v>
      </c>
      <c r="H23" s="34">
        <v>45282.594583333332</v>
      </c>
      <c r="J23">
        <v>0</v>
      </c>
      <c r="K23">
        <v>220290</v>
      </c>
      <c r="L23">
        <v>41855</v>
      </c>
      <c r="O23">
        <v>262145</v>
      </c>
      <c r="T23">
        <v>0</v>
      </c>
      <c r="X23">
        <v>0</v>
      </c>
    </row>
    <row r="24" spans="1:24">
      <c r="A24">
        <v>24</v>
      </c>
      <c r="B24">
        <v>34</v>
      </c>
      <c r="C24" t="s">
        <v>15</v>
      </c>
      <c r="D24" t="s">
        <v>219</v>
      </c>
      <c r="E24" t="s">
        <v>220</v>
      </c>
      <c r="F24">
        <v>2026362</v>
      </c>
      <c r="G24" s="33">
        <v>45288</v>
      </c>
      <c r="H24" s="34">
        <v>45288.992002314815</v>
      </c>
      <c r="J24">
        <v>0</v>
      </c>
      <c r="K24">
        <v>0</v>
      </c>
      <c r="L24">
        <v>0</v>
      </c>
      <c r="O24">
        <v>0</v>
      </c>
      <c r="T24">
        <v>0</v>
      </c>
      <c r="X24">
        <v>0</v>
      </c>
    </row>
    <row r="25" spans="1:24">
      <c r="A25">
        <v>20</v>
      </c>
      <c r="B25">
        <v>33</v>
      </c>
      <c r="C25" t="s">
        <v>15</v>
      </c>
      <c r="D25" t="s">
        <v>219</v>
      </c>
      <c r="E25" t="s">
        <v>220</v>
      </c>
      <c r="F25">
        <v>6447975</v>
      </c>
      <c r="G25" s="33">
        <v>45288</v>
      </c>
      <c r="H25" s="34">
        <v>45289.553946759261</v>
      </c>
      <c r="J25">
        <v>0</v>
      </c>
      <c r="K25">
        <v>97497</v>
      </c>
      <c r="L25">
        <v>18524</v>
      </c>
      <c r="O25">
        <v>116021</v>
      </c>
      <c r="T25">
        <v>0</v>
      </c>
      <c r="X25">
        <v>0</v>
      </c>
    </row>
    <row r="26" spans="1:24">
      <c r="A26">
        <v>25</v>
      </c>
      <c r="B26">
        <v>34</v>
      </c>
      <c r="C26" t="s">
        <v>15</v>
      </c>
      <c r="D26" t="s">
        <v>219</v>
      </c>
      <c r="E26" t="s">
        <v>220</v>
      </c>
      <c r="F26">
        <v>2028745</v>
      </c>
      <c r="G26" s="33">
        <v>45289</v>
      </c>
      <c r="H26" s="34">
        <v>45289.985706018517</v>
      </c>
      <c r="J26">
        <v>0</v>
      </c>
      <c r="K26">
        <v>0</v>
      </c>
      <c r="L26">
        <v>0</v>
      </c>
      <c r="O26">
        <v>0</v>
      </c>
      <c r="T26">
        <v>0</v>
      </c>
      <c r="X26">
        <v>0</v>
      </c>
    </row>
    <row r="27" spans="1:24">
      <c r="A27">
        <v>26</v>
      </c>
      <c r="B27">
        <v>914</v>
      </c>
      <c r="C27" t="s">
        <v>15</v>
      </c>
      <c r="D27" t="s">
        <v>233</v>
      </c>
      <c r="E27" t="s">
        <v>234</v>
      </c>
      <c r="F27">
        <v>402029597</v>
      </c>
      <c r="G27" s="33">
        <v>45278</v>
      </c>
      <c r="H27" s="34">
        <v>45300.958599537036</v>
      </c>
      <c r="J27">
        <v>0</v>
      </c>
      <c r="K27">
        <v>275439</v>
      </c>
      <c r="L27">
        <v>52333</v>
      </c>
      <c r="O27">
        <v>327772</v>
      </c>
      <c r="X27">
        <v>0</v>
      </c>
    </row>
  </sheetData>
  <autoFilter ref="A1:AA1" xr:uid="{51642E72-A091-49AF-99DA-C5C25A32E8B3}">
    <sortState xmlns:xlrd2="http://schemas.microsoft.com/office/spreadsheetml/2017/richdata2" ref="A2:AA27">
      <sortCondition ref="H1"/>
    </sortState>
  </autoFilter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3B70-B6A7-4FFB-8AFC-30192F202CBB}">
  <sheetPr>
    <tabColor rgb="FFFFFF00"/>
  </sheetPr>
  <dimension ref="E2:I18"/>
  <sheetViews>
    <sheetView zoomScale="87" workbookViewId="0">
      <selection activeCell="H63" sqref="H63"/>
    </sheetView>
  </sheetViews>
  <sheetFormatPr baseColWidth="10" defaultRowHeight="15"/>
  <cols>
    <col min="6" max="6" width="36" bestFit="1" customWidth="1"/>
  </cols>
  <sheetData>
    <row r="2" spans="5:9">
      <c r="F2" s="44" t="s">
        <v>200</v>
      </c>
      <c r="G2" s="44"/>
      <c r="H2" s="44"/>
    </row>
    <row r="5" spans="5:9">
      <c r="E5" s="51"/>
      <c r="F5" s="51"/>
      <c r="G5" s="51"/>
      <c r="H5" s="51"/>
      <c r="I5" s="51"/>
    </row>
    <row r="6" spans="5:9">
      <c r="E6" s="51"/>
      <c r="F6" s="51"/>
      <c r="G6" s="51"/>
      <c r="H6" s="51"/>
      <c r="I6" s="51"/>
    </row>
    <row r="7" spans="5:9">
      <c r="E7" s="51"/>
      <c r="F7" s="51"/>
      <c r="G7" s="51"/>
      <c r="H7" s="51"/>
      <c r="I7" s="51"/>
    </row>
    <row r="8" spans="5:9">
      <c r="E8" s="51"/>
      <c r="F8" s="51"/>
      <c r="G8" s="51"/>
      <c r="H8" s="51"/>
      <c r="I8" s="51"/>
    </row>
    <row r="9" spans="5:9">
      <c r="E9" s="51"/>
      <c r="F9" s="51"/>
      <c r="G9" s="51"/>
      <c r="H9" s="51"/>
      <c r="I9" s="51"/>
    </row>
    <row r="10" spans="5:9">
      <c r="E10" s="51"/>
      <c r="F10" s="51"/>
      <c r="G10" s="51"/>
      <c r="H10" s="51"/>
      <c r="I10" s="51"/>
    </row>
    <row r="11" spans="5:9">
      <c r="E11" s="51"/>
      <c r="F11" s="51"/>
      <c r="G11" s="51"/>
      <c r="H11" s="51"/>
      <c r="I11" s="51"/>
    </row>
    <row r="12" spans="5:9">
      <c r="E12" s="51"/>
      <c r="F12" s="51"/>
      <c r="G12" s="51"/>
      <c r="H12" s="51"/>
      <c r="I12" s="51"/>
    </row>
    <row r="13" spans="5:9">
      <c r="E13" s="51"/>
      <c r="F13" s="51"/>
      <c r="G13" s="51"/>
      <c r="H13" s="51"/>
      <c r="I13" s="51"/>
    </row>
    <row r="14" spans="5:9">
      <c r="E14" s="51"/>
      <c r="F14" s="51"/>
      <c r="G14" s="51"/>
      <c r="H14" s="51"/>
      <c r="I14" s="51"/>
    </row>
    <row r="15" spans="5:9">
      <c r="E15" s="51"/>
      <c r="F15" s="51"/>
      <c r="G15" s="51"/>
      <c r="H15" s="51"/>
      <c r="I15" s="51"/>
    </row>
    <row r="16" spans="5:9">
      <c r="E16" s="51"/>
      <c r="F16" s="51"/>
      <c r="G16" s="51"/>
      <c r="H16" s="51"/>
      <c r="I16" s="51"/>
    </row>
    <row r="17" spans="5:9">
      <c r="E17" s="51"/>
      <c r="F17" s="51"/>
      <c r="G17" s="51"/>
      <c r="H17" s="51"/>
      <c r="I17" s="51"/>
    </row>
    <row r="18" spans="5:9">
      <c r="E18" s="51"/>
      <c r="F18" s="51"/>
      <c r="G18" s="51"/>
      <c r="H18" s="51"/>
      <c r="I18" s="51"/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9FD4-C6FD-4E4E-B8A3-BC5E67580BD9}">
  <dimension ref="A1:E27"/>
  <sheetViews>
    <sheetView workbookViewId="0">
      <selection activeCell="G16" sqref="G16"/>
    </sheetView>
  </sheetViews>
  <sheetFormatPr baseColWidth="10" defaultRowHeight="12.75"/>
  <cols>
    <col min="1" max="1" width="11.5703125" style="7" bestFit="1" customWidth="1"/>
    <col min="2" max="2" width="10.140625" style="7" bestFit="1" customWidth="1"/>
    <col min="3" max="4" width="9" style="7" customWidth="1"/>
    <col min="5" max="5" width="66.85546875" style="7" bestFit="1" customWidth="1"/>
    <col min="6" max="16384" width="11.42578125" style="7"/>
  </cols>
  <sheetData>
    <row r="1" spans="1:5" ht="15">
      <c r="A1" s="8">
        <v>772612800</v>
      </c>
      <c r="B1" s="6">
        <v>1106401</v>
      </c>
      <c r="C1" s="6">
        <v>0</v>
      </c>
      <c r="D1" s="6">
        <v>0</v>
      </c>
      <c r="E1" s="6" t="s">
        <v>25</v>
      </c>
    </row>
    <row r="2" spans="1:5" ht="15">
      <c r="A2" s="8">
        <v>768198470</v>
      </c>
      <c r="B2" s="6">
        <v>1209401</v>
      </c>
      <c r="C2" s="6">
        <v>0</v>
      </c>
      <c r="D2" s="6">
        <v>0</v>
      </c>
      <c r="E2" s="6" t="s">
        <v>27</v>
      </c>
    </row>
    <row r="3" spans="1:5" ht="15">
      <c r="A3" s="8">
        <v>761721143</v>
      </c>
      <c r="B3" s="6">
        <v>3102102</v>
      </c>
      <c r="C3" s="6">
        <v>0</v>
      </c>
      <c r="D3" s="6">
        <v>0</v>
      </c>
      <c r="E3" s="6" t="s">
        <v>31</v>
      </c>
    </row>
    <row r="4" spans="1:5" ht="15">
      <c r="A4" s="8">
        <v>773982201</v>
      </c>
      <c r="B4" s="6">
        <v>3102104</v>
      </c>
      <c r="C4" s="6">
        <v>0</v>
      </c>
      <c r="D4" s="6">
        <v>0</v>
      </c>
      <c r="E4" s="6" t="s">
        <v>32</v>
      </c>
    </row>
    <row r="5" spans="1:5" ht="15">
      <c r="A5" s="8">
        <v>967564303</v>
      </c>
      <c r="B5" s="6">
        <v>3102105</v>
      </c>
      <c r="C5" s="6">
        <v>0</v>
      </c>
      <c r="D5" s="6">
        <v>0</v>
      </c>
      <c r="E5" s="6" t="s">
        <v>33</v>
      </c>
    </row>
    <row r="6" spans="1:5" ht="15">
      <c r="A6" s="8">
        <v>776458252</v>
      </c>
      <c r="B6" s="6">
        <v>3102108</v>
      </c>
      <c r="C6" s="6">
        <v>0</v>
      </c>
      <c r="D6" s="6">
        <v>0</v>
      </c>
      <c r="E6" s="6" t="s">
        <v>34</v>
      </c>
    </row>
    <row r="7" spans="1:5" ht="15">
      <c r="A7" s="8">
        <v>833827006</v>
      </c>
      <c r="B7" s="6">
        <v>3102108</v>
      </c>
      <c r="C7" s="6">
        <v>0</v>
      </c>
      <c r="D7" s="6">
        <v>0</v>
      </c>
      <c r="E7" s="6" t="s">
        <v>34</v>
      </c>
    </row>
    <row r="8" spans="1:5" ht="15">
      <c r="A8" s="8">
        <v>969089700</v>
      </c>
      <c r="B8" s="6">
        <v>3102113</v>
      </c>
      <c r="C8" s="6">
        <v>0</v>
      </c>
      <c r="D8" s="6">
        <v>0</v>
      </c>
      <c r="E8" s="6" t="s">
        <v>35</v>
      </c>
    </row>
    <row r="9" spans="1:5" ht="15">
      <c r="A9" s="8">
        <v>181111186</v>
      </c>
      <c r="B9" s="6">
        <v>3105116</v>
      </c>
      <c r="C9" s="6">
        <v>0</v>
      </c>
      <c r="D9" s="6">
        <v>0</v>
      </c>
      <c r="E9" s="6" t="s">
        <v>23</v>
      </c>
    </row>
    <row r="10" spans="1:5" ht="15">
      <c r="A10" s="8">
        <v>776008206</v>
      </c>
      <c r="B10" s="6">
        <v>3105201</v>
      </c>
      <c r="C10" s="6">
        <v>0</v>
      </c>
      <c r="D10" s="6">
        <v>0</v>
      </c>
      <c r="E10" s="6" t="s">
        <v>26</v>
      </c>
    </row>
    <row r="11" spans="1:5" ht="15">
      <c r="A11" s="8">
        <v>777163124</v>
      </c>
      <c r="B11" s="6">
        <v>3105206</v>
      </c>
      <c r="C11" s="6">
        <v>0</v>
      </c>
      <c r="D11" s="6">
        <v>0</v>
      </c>
      <c r="E11" s="6" t="s">
        <v>29</v>
      </c>
    </row>
    <row r="12" spans="1:5" ht="15">
      <c r="A12" s="8">
        <v>765642396</v>
      </c>
      <c r="B12" s="6">
        <v>3105209</v>
      </c>
      <c r="C12" s="6">
        <v>0</v>
      </c>
      <c r="D12" s="6">
        <v>0</v>
      </c>
      <c r="E12" s="6" t="s">
        <v>22</v>
      </c>
    </row>
    <row r="13" spans="1:5" ht="15">
      <c r="A13" s="8">
        <v>784089908</v>
      </c>
      <c r="B13" s="6">
        <v>3105301</v>
      </c>
      <c r="C13" s="6">
        <v>0</v>
      </c>
      <c r="D13" s="6">
        <v>0</v>
      </c>
      <c r="E13" s="6" t="s">
        <v>21</v>
      </c>
    </row>
    <row r="14" spans="1:5" ht="15">
      <c r="A14" s="8">
        <v>968473204</v>
      </c>
      <c r="B14" s="6">
        <v>3105301</v>
      </c>
      <c r="C14" s="6">
        <v>0</v>
      </c>
      <c r="D14" s="6">
        <v>0</v>
      </c>
      <c r="E14" s="6" t="s">
        <v>21</v>
      </c>
    </row>
    <row r="15" spans="1:5" ht="15">
      <c r="A15" s="8">
        <v>762032996</v>
      </c>
      <c r="B15" s="6">
        <v>3105301</v>
      </c>
      <c r="C15" s="6">
        <v>0</v>
      </c>
      <c r="D15" s="6">
        <v>0</v>
      </c>
      <c r="E15" s="6" t="s">
        <v>21</v>
      </c>
    </row>
    <row r="16" spans="1:5" ht="15">
      <c r="A16" s="8">
        <v>768823308</v>
      </c>
      <c r="B16" s="6">
        <v>3105301</v>
      </c>
      <c r="C16" s="6">
        <v>0</v>
      </c>
      <c r="D16" s="6">
        <v>0</v>
      </c>
      <c r="E16" s="6" t="s">
        <v>21</v>
      </c>
    </row>
    <row r="17" spans="1:5" ht="15">
      <c r="A17" s="8">
        <v>764333101</v>
      </c>
      <c r="B17" s="6">
        <v>3105301</v>
      </c>
      <c r="C17" s="6">
        <v>0</v>
      </c>
      <c r="D17" s="6">
        <v>0</v>
      </c>
      <c r="E17" s="6" t="s">
        <v>21</v>
      </c>
    </row>
    <row r="18" spans="1:5" ht="15">
      <c r="A18" s="8">
        <v>760988200</v>
      </c>
      <c r="B18" s="6">
        <v>3105302</v>
      </c>
      <c r="C18" s="6">
        <v>0</v>
      </c>
      <c r="D18" s="6">
        <v>0</v>
      </c>
      <c r="E18" s="6" t="s">
        <v>19</v>
      </c>
    </row>
    <row r="19" spans="1:5" ht="15">
      <c r="A19" s="8">
        <v>967992500</v>
      </c>
      <c r="B19" s="6">
        <v>3105401</v>
      </c>
      <c r="C19" s="6">
        <v>0</v>
      </c>
      <c r="D19" s="6">
        <v>0</v>
      </c>
      <c r="E19" s="6" t="s">
        <v>17</v>
      </c>
    </row>
    <row r="20" spans="1:5" ht="15">
      <c r="A20" s="8">
        <v>906350009</v>
      </c>
      <c r="B20" s="6">
        <v>3105406</v>
      </c>
      <c r="C20" s="6">
        <v>0</v>
      </c>
      <c r="D20" s="6">
        <v>0</v>
      </c>
      <c r="E20" s="6" t="s">
        <v>18</v>
      </c>
    </row>
    <row r="21" spans="1:5" ht="15">
      <c r="A21" s="8">
        <v>992310006</v>
      </c>
      <c r="B21" s="6">
        <v>3105506</v>
      </c>
      <c r="C21" s="6">
        <v>0</v>
      </c>
      <c r="D21" s="6">
        <v>0</v>
      </c>
      <c r="E21" s="6" t="s">
        <v>28</v>
      </c>
    </row>
    <row r="22" spans="1:5" ht="15">
      <c r="A22" s="8">
        <v>788855508</v>
      </c>
      <c r="B22" s="6">
        <v>3105801</v>
      </c>
      <c r="C22" s="6">
        <v>0</v>
      </c>
      <c r="D22" s="6">
        <v>0</v>
      </c>
      <c r="E22" s="6" t="s">
        <v>30</v>
      </c>
    </row>
    <row r="23" spans="1:5" ht="15">
      <c r="A23" s="8">
        <v>761486969</v>
      </c>
      <c r="B23" s="6">
        <v>3105801</v>
      </c>
      <c r="C23" s="6">
        <v>0</v>
      </c>
      <c r="D23" s="6">
        <v>0</v>
      </c>
      <c r="E23" s="6" t="s">
        <v>30</v>
      </c>
    </row>
    <row r="24" spans="1:5" ht="15">
      <c r="A24" s="8">
        <v>965569405</v>
      </c>
      <c r="B24" s="6">
        <v>3105803</v>
      </c>
      <c r="C24" s="6">
        <v>0</v>
      </c>
      <c r="D24" s="6">
        <v>0</v>
      </c>
      <c r="E24" s="6" t="s">
        <v>20</v>
      </c>
    </row>
    <row r="25" spans="1:5" ht="15">
      <c r="A25" s="8">
        <v>970040005</v>
      </c>
      <c r="B25" s="6">
        <v>3105806</v>
      </c>
      <c r="C25" s="6">
        <v>0</v>
      </c>
      <c r="D25" s="6">
        <v>0</v>
      </c>
      <c r="E25" s="6" t="s">
        <v>36</v>
      </c>
    </row>
    <row r="26" spans="1:5" ht="15.75" customHeight="1">
      <c r="A26" s="8">
        <v>970360000</v>
      </c>
      <c r="B26" s="6">
        <v>3105806</v>
      </c>
      <c r="C26" s="6">
        <v>0</v>
      </c>
      <c r="D26" s="6">
        <v>0</v>
      </c>
      <c r="E26" s="6" t="s">
        <v>36</v>
      </c>
    </row>
    <row r="27" spans="1:5" ht="15">
      <c r="A27" s="8">
        <v>768322481</v>
      </c>
      <c r="B27" s="6">
        <v>3105833</v>
      </c>
      <c r="C27" s="6">
        <v>0</v>
      </c>
      <c r="D27" s="6">
        <v>0</v>
      </c>
      <c r="E27" s="6" t="s">
        <v>24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Clasificación: Interno, no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58FD90-2F04-46FE-AA7C-159285D07FB2}"/>
</file>

<file path=customXml/itemProps2.xml><?xml version="1.0" encoding="utf-8"?>
<ds:datastoreItem xmlns:ds="http://schemas.openxmlformats.org/officeDocument/2006/customXml" ds:itemID="{3BA52056-5127-496B-B813-F1E3E9FBA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Cuadratura 31.12.2023</vt:lpstr>
      <vt:lpstr>MAGNUS LC</vt:lpstr>
      <vt:lpstr>balance</vt:lpstr>
      <vt:lpstr>Planilla Compras unificada</vt:lpstr>
      <vt:lpstr>01-31</vt:lpstr>
      <vt:lpstr>ASIGNACION</vt:lpstr>
      <vt:lpstr>Titulares</vt:lpstr>
      <vt:lpstr>31.12.2023</vt:lpstr>
      <vt:lpstr>MAGNUS</vt:lpstr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Valentina Belen Ayala Leon</cp:lastModifiedBy>
  <dcterms:created xsi:type="dcterms:W3CDTF">2022-07-14T17:02:56Z</dcterms:created>
  <dcterms:modified xsi:type="dcterms:W3CDTF">2024-02-06T16:44:51Z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3d2621-260c-42db-8aea-42fd547000da_Enabled">
    <vt:lpwstr>true</vt:lpwstr>
  </property>
  <property fmtid="{D5CDD505-2E9C-101B-9397-08002B2CF9AE}" pid="3" name="MSIP_Label_293d2621-260c-42db-8aea-42fd547000da_SetDate">
    <vt:lpwstr>2024-02-05T13:45:48Z</vt:lpwstr>
  </property>
  <property fmtid="{D5CDD505-2E9C-101B-9397-08002B2CF9AE}" pid="4" name="MSIP_Label_293d2621-260c-42db-8aea-42fd547000da_Method">
    <vt:lpwstr>Privileged</vt:lpwstr>
  </property>
  <property fmtid="{D5CDD505-2E9C-101B-9397-08002B2CF9AE}" pid="5" name="MSIP_Label_293d2621-260c-42db-8aea-42fd547000da_Name">
    <vt:lpwstr>Interno</vt:lpwstr>
  </property>
  <property fmtid="{D5CDD505-2E9C-101B-9397-08002B2CF9AE}" pid="6" name="MSIP_Label_293d2621-260c-42db-8aea-42fd547000da_SiteId">
    <vt:lpwstr>ad9dc499-26eb-41de-90c1-2c7cfce752f9</vt:lpwstr>
  </property>
  <property fmtid="{D5CDD505-2E9C-101B-9397-08002B2CF9AE}" pid="7" name="MSIP_Label_293d2621-260c-42db-8aea-42fd547000da_ActionId">
    <vt:lpwstr>82a4c4fa-8312-4548-bcfb-19b2e29c62bb</vt:lpwstr>
  </property>
  <property fmtid="{D5CDD505-2E9C-101B-9397-08002B2CF9AE}" pid="8" name="MSIP_Label_293d2621-260c-42db-8aea-42fd547000da_ContentBits">
    <vt:lpwstr>2</vt:lpwstr>
  </property>
</Properties>
</file>