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rsmchilespa-my.sharepoint.com/personal/valentina_ayala_rsmchile_cl/Documents/Perfil/Desktop/CLIENTES/19.PROYESCO CHILE SPA/Bco/"/>
    </mc:Choice>
  </mc:AlternateContent>
  <xr:revisionPtr revIDLastSave="91" documentId="8_{1DAA8FDE-5A28-4A49-888F-2FED5B2CE1F8}" xr6:coauthVersionLast="47" xr6:coauthVersionMax="47" xr10:uidLastSave="{D433A40E-85E5-4A98-866F-4D1EFF1E8C3F}"/>
  <bookViews>
    <workbookView xWindow="-120" yWindow="-120" windowWidth="20640" windowHeight="11040" activeTab="2" xr2:uid="{37F09650-8192-44C9-81C5-CD7C6086CE54}"/>
  </bookViews>
  <sheets>
    <sheet name="OCTUBRE" sheetId="1" r:id="rId1"/>
    <sheet name="NOVIEMBRE" sheetId="2" r:id="rId2"/>
    <sheet name="DICIEMBRE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" i="3" l="1"/>
  <c r="J3" i="3"/>
  <c r="J4" i="3"/>
  <c r="J5" i="3"/>
  <c r="J6" i="3"/>
  <c r="J7" i="3"/>
  <c r="J8" i="3"/>
  <c r="J9" i="3"/>
  <c r="J10" i="2"/>
  <c r="J9" i="2"/>
  <c r="J8" i="2"/>
  <c r="J7" i="2"/>
  <c r="J6" i="2"/>
  <c r="J5" i="2"/>
  <c r="J4" i="2"/>
  <c r="J3" i="2"/>
  <c r="J2" i="2"/>
  <c r="J6" i="1" l="1"/>
  <c r="J5" i="1"/>
  <c r="J4" i="1"/>
  <c r="J3" i="1"/>
  <c r="J2" i="1"/>
</calcChain>
</file>

<file path=xl/sharedStrings.xml><?xml version="1.0" encoding="utf-8"?>
<sst xmlns="http://schemas.openxmlformats.org/spreadsheetml/2006/main" count="124" uniqueCount="59">
  <si>
    <r>
      <rPr>
        <b/>
        <sz val="7"/>
        <color rgb="FFFFFFFF"/>
        <rFont val="Arial"/>
        <family val="2"/>
      </rPr>
      <t>Fecha</t>
    </r>
  </si>
  <si>
    <r>
      <rPr>
        <b/>
        <sz val="7"/>
        <color rgb="FFFFFFFF"/>
        <rFont val="Arial"/>
        <family val="2"/>
      </rPr>
      <t>Nº Operación</t>
    </r>
  </si>
  <si>
    <r>
      <rPr>
        <b/>
        <sz val="7"/>
        <color rgb="FFFFFFFF"/>
        <rFont val="Arial"/>
        <family val="2"/>
      </rPr>
      <t>Sucursal</t>
    </r>
  </si>
  <si>
    <r>
      <rPr>
        <b/>
        <sz val="7"/>
        <color rgb="FFFFFFFF"/>
        <rFont val="Arial"/>
        <family val="2"/>
      </rPr>
      <t>Descripción</t>
    </r>
  </si>
  <si>
    <r>
      <rPr>
        <b/>
        <sz val="7"/>
        <color rgb="FFFFFFFF"/>
        <rFont val="Arial"/>
        <family val="2"/>
      </rPr>
      <t>Depósitos o abonos</t>
    </r>
  </si>
  <si>
    <r>
      <rPr>
        <b/>
        <sz val="7"/>
        <color rgb="FFFFFFFF"/>
        <rFont val="Arial"/>
        <family val="2"/>
      </rPr>
      <t>Giros o cargos</t>
    </r>
  </si>
  <si>
    <r>
      <rPr>
        <b/>
        <sz val="7"/>
        <color rgb="FFFFFFFF"/>
        <rFont val="Arial"/>
        <family val="2"/>
      </rPr>
      <t>Saldo diario</t>
    </r>
  </si>
  <si>
    <t>Glosa</t>
  </si>
  <si>
    <t>Cta</t>
  </si>
  <si>
    <t>Nro Cta</t>
  </si>
  <si>
    <t>ASIGNACION</t>
  </si>
  <si>
    <t>OBSERVACION</t>
  </si>
  <si>
    <r>
      <rPr>
        <sz val="7"/>
        <rFont val="Arial MT"/>
        <family val="2"/>
      </rPr>
      <t>11/10</t>
    </r>
  </si>
  <si>
    <r>
      <rPr>
        <sz val="7"/>
        <rFont val="Arial MT"/>
        <family val="2"/>
      </rPr>
      <t>Alq Auto</t>
    </r>
  </si>
  <si>
    <t>ANTICIPO PROVEEDORES CLP</t>
  </si>
  <si>
    <t>SE DEJA EN ANTICIPO YA QUE NO SE ENCUENTRA FACTURA POR EL GASTO</t>
  </si>
  <si>
    <r>
      <rPr>
        <sz val="7"/>
        <rFont val="Arial MT"/>
        <family val="2"/>
      </rPr>
      <t>Departamento</t>
    </r>
  </si>
  <si>
    <r>
      <rPr>
        <sz val="7"/>
        <rFont val="Arial MT"/>
        <family val="2"/>
      </rPr>
      <t>Saldo Cuenta</t>
    </r>
  </si>
  <si>
    <t>OTROS DEUDORES MENORES CLP</t>
  </si>
  <si>
    <t>SE DEJA EN OTROS DEUDORES MENORES YA QUE NO SE SABE CUAL ES EL CONCEPTO</t>
  </si>
  <si>
    <r>
      <rPr>
        <sz val="7"/>
        <rFont val="Arial MT"/>
        <family val="2"/>
      </rPr>
      <t>23/10</t>
    </r>
  </si>
  <si>
    <r>
      <rPr>
        <sz val="7"/>
        <rFont val="Arial MT"/>
        <family val="2"/>
      </rPr>
      <t>C 06123 Rm</t>
    </r>
  </si>
  <si>
    <r>
      <rPr>
        <sz val="7"/>
        <rFont val="Arial MT"/>
        <family val="2"/>
      </rPr>
      <t>30/10</t>
    </r>
  </si>
  <si>
    <r>
      <rPr>
        <sz val="7"/>
        <rFont val="Arial MT"/>
        <family val="2"/>
      </rPr>
      <t>Compra/venta Divisas Sucursal</t>
    </r>
  </si>
  <si>
    <r>
      <rPr>
        <sz val="7"/>
        <rFont val="Arial MT"/>
        <family val="2"/>
      </rPr>
      <t>03/11</t>
    </r>
  </si>
  <si>
    <r>
      <rPr>
        <sz val="7"/>
        <rFont val="Arial MT"/>
        <family val="2"/>
      </rPr>
      <t>Easy Point</t>
    </r>
  </si>
  <si>
    <t xml:space="preserve">EXPLICACION DE QUE FACTURAS PAGA </t>
  </si>
  <si>
    <r>
      <rPr>
        <sz val="7"/>
        <rFont val="Arial MT"/>
        <family val="2"/>
      </rPr>
      <t>07/11</t>
    </r>
  </si>
  <si>
    <t>C06523</t>
  </si>
  <si>
    <t>EXPLICACION DE QUE PAGA</t>
  </si>
  <si>
    <r>
      <rPr>
        <sz val="7"/>
        <rFont val="Arial MT"/>
        <family val="2"/>
      </rPr>
      <t>09/11</t>
    </r>
  </si>
  <si>
    <r>
      <rPr>
        <sz val="7"/>
        <rFont val="Arial MT"/>
        <family val="2"/>
      </rPr>
      <t>Proveedor Easy Point</t>
    </r>
  </si>
  <si>
    <t>Cp Credito Pago A Proveedores</t>
  </si>
  <si>
    <t>EXPLICACION DE DONDE VIENE ABONO</t>
  </si>
  <si>
    <r>
      <rPr>
        <sz val="7"/>
        <rFont val="Arial MT"/>
        <family val="2"/>
      </rPr>
      <t>10/11</t>
    </r>
  </si>
  <si>
    <r>
      <rPr>
        <sz val="7"/>
        <rFont val="Arial MT"/>
        <family val="2"/>
      </rPr>
      <t>Pago Efectuado A Proveedores</t>
    </r>
  </si>
  <si>
    <r>
      <rPr>
        <sz val="7"/>
        <rFont val="Arial MT"/>
        <family val="2"/>
      </rPr>
      <t>Compratecno</t>
    </r>
  </si>
  <si>
    <r>
      <rPr>
        <sz val="7"/>
        <rFont val="Arial MT"/>
        <family val="2"/>
      </rPr>
      <t>16/11</t>
    </r>
  </si>
  <si>
    <t xml:space="preserve">EXPLIACION DE POR QUE COMPRAN EN SUCURSAL </t>
  </si>
  <si>
    <r>
      <rPr>
        <sz val="7"/>
        <rFont val="Arial MT"/>
        <family val="2"/>
      </rPr>
      <t>21/11</t>
    </r>
  </si>
  <si>
    <r>
      <rPr>
        <sz val="7"/>
        <rFont val="Arial MT"/>
        <family val="2"/>
      </rPr>
      <t>30/11</t>
    </r>
  </si>
  <si>
    <r>
      <rPr>
        <sz val="7"/>
        <rFont val="Arial MT"/>
        <family val="2"/>
      </rPr>
      <t>Easy Point Varios</t>
    </r>
  </si>
  <si>
    <t>PORQUE SE COMPRA EN SUCURSAL?</t>
  </si>
  <si>
    <t xml:space="preserve">SE SABE QUE ES EASY POINT PERO SE NECESITA EXPLICACION DE QUE FACTURAS PAGA </t>
  </si>
  <si>
    <t>SE SABE QUE ES EASY POINT PERO SE NECESITA EXPLICACION DE QUE FACTURAS PAGA O SHIP</t>
  </si>
  <si>
    <t xml:space="preserve"> ES EL PROVEEDOR LK ? EXPLICACION DE QUE FACTURAS PAGA</t>
  </si>
  <si>
    <t xml:space="preserve">EXPLICACION DE POR QUE COMPRAN EN SUCURSAL </t>
  </si>
  <si>
    <r>
      <rPr>
        <sz val="7"/>
        <rFont val="Arial MT"/>
        <family val="2"/>
      </rPr>
      <t>28/12</t>
    </r>
  </si>
  <si>
    <r>
      <rPr>
        <sz val="7"/>
        <rFont val="Arial MT"/>
        <family val="2"/>
      </rPr>
      <t>Depto Proyesco</t>
    </r>
  </si>
  <si>
    <r>
      <rPr>
        <sz val="7"/>
        <rFont val="Arial MT"/>
        <family val="2"/>
      </rPr>
      <t>Pasajes Proyesco</t>
    </r>
  </si>
  <si>
    <r>
      <rPr>
        <sz val="7"/>
        <rFont val="Arial MT"/>
        <family val="2"/>
      </rPr>
      <t>21/12</t>
    </r>
  </si>
  <si>
    <t>EXPLICACION DE QUE SE TRATA EL CARGO</t>
  </si>
  <si>
    <r>
      <rPr>
        <sz val="7"/>
        <rFont val="Arial MT"/>
        <family val="2"/>
      </rPr>
      <t>1z17e4v30410894414</t>
    </r>
  </si>
  <si>
    <r>
      <rPr>
        <sz val="7"/>
        <rFont val="Arial MT"/>
        <family val="2"/>
      </rPr>
      <t>18/12</t>
    </r>
  </si>
  <si>
    <t xml:space="preserve">EXPLICACION DE POR QUE SE DEVUELVE DINERO </t>
  </si>
  <si>
    <r>
      <rPr>
        <sz val="7"/>
        <rFont val="Arial MT"/>
        <family val="2"/>
      </rPr>
      <t>Transferencia De Grupo Monteca</t>
    </r>
  </si>
  <si>
    <r>
      <rPr>
        <sz val="7"/>
        <rFont val="Arial MT"/>
        <family val="2"/>
      </rPr>
      <t>15/12</t>
    </r>
  </si>
  <si>
    <r>
      <rPr>
        <sz val="7"/>
        <rFont val="Arial MT"/>
        <family val="2"/>
      </rPr>
      <t>13/12</t>
    </r>
  </si>
  <si>
    <r>
      <rPr>
        <sz val="7"/>
        <rFont val="Arial MT"/>
        <family val="2"/>
      </rPr>
      <t>07/12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</si>
</sst>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00000000"/>
    <numFmt numFmtId="165" formatCode="0000"/>
    <numFmt numFmtId="166" formatCode="\$0"/>
    <numFmt numFmtId="167" formatCode="\$#,##0"/>
  </numFmts>
  <fonts count="10" x14ac:knownFonts="1">
    <font>
      <sz val="10"/>
      <color rgb="FF000000"/>
      <name val="Times New Roman"/>
      <family val="1"/>
    </font>
    <font>
      <sz val="10"/>
      <color rgb="FF000000"/>
      <name val="Times New Roman"/>
      <family val="1"/>
    </font>
    <font>
      <sz val="7"/>
      <name val="Arial MT"/>
      <family val="2"/>
    </font>
    <font>
      <b/>
      <sz val="7"/>
      <name val="Arial"/>
      <family val="2"/>
    </font>
    <font>
      <b/>
      <sz val="7"/>
      <color rgb="FFFFFFFF"/>
      <name val="Arial"/>
      <family val="2"/>
    </font>
    <font>
      <sz val="10"/>
      <color rgb="FF000000"/>
      <name val="Calibri"/>
      <family val="2"/>
    </font>
    <font>
      <sz val="7"/>
      <name val="Arial MT"/>
    </font>
    <font>
      <sz val="7"/>
      <color rgb="FF000000"/>
      <name val="Arial MT"/>
      <family val="2"/>
    </font>
    <font>
      <sz val="11"/>
      <color indexed="8"/>
      <name val="Calibri"/>
      <family val="2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22B59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7030A0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0" fontId="8" fillId="0" borderId="0"/>
    <xf numFmtId="0" fontId="9" fillId="0" borderId="0"/>
  </cellStyleXfs>
  <cellXfs count="68">
    <xf numFmtId="0" fontId="0" fillId="0" borderId="0" xfId="0"/>
    <xf numFmtId="0" fontId="0" fillId="0" borderId="0" xfId="0" applyAlignment="1">
      <alignment horizontal="left" vertical="top"/>
    </xf>
    <xf numFmtId="0" fontId="3" fillId="2" borderId="0" xfId="0" applyFont="1" applyFill="1" applyAlignment="1">
      <alignment horizontal="left" vertical="top" wrapText="1"/>
    </xf>
    <xf numFmtId="0" fontId="3" fillId="2" borderId="0" xfId="0" applyFont="1" applyFill="1" applyAlignment="1">
      <alignment horizontal="left" vertical="top" wrapText="1" indent="1"/>
    </xf>
    <xf numFmtId="0" fontId="3" fillId="2" borderId="0" xfId="0" applyFont="1" applyFill="1" applyAlignment="1">
      <alignment horizontal="left" vertical="top" wrapText="1" indent="2"/>
    </xf>
    <xf numFmtId="0" fontId="3" fillId="2" borderId="0" xfId="0" applyFont="1" applyFill="1" applyAlignment="1">
      <alignment horizontal="right" vertical="top" wrapText="1" indent="1"/>
    </xf>
    <xf numFmtId="0" fontId="3" fillId="2" borderId="0" xfId="0" applyFont="1" applyFill="1" applyAlignment="1">
      <alignment horizontal="right" vertical="top" wrapText="1"/>
    </xf>
    <xf numFmtId="0" fontId="5" fillId="3" borderId="0" xfId="0" applyFont="1" applyFill="1"/>
    <xf numFmtId="0" fontId="1" fillId="0" borderId="0" xfId="0" applyFont="1" applyAlignment="1">
      <alignment horizontal="left" vertical="top"/>
    </xf>
    <xf numFmtId="0" fontId="1" fillId="0" borderId="0" xfId="1" applyAlignment="1">
      <alignment horizontal="left" vertical="top"/>
    </xf>
    <xf numFmtId="0" fontId="3" fillId="2" borderId="0" xfId="1" applyFont="1" applyFill="1" applyAlignment="1">
      <alignment horizontal="left" vertical="top" wrapText="1"/>
    </xf>
    <xf numFmtId="0" fontId="3" fillId="2" borderId="0" xfId="1" applyFont="1" applyFill="1" applyAlignment="1">
      <alignment horizontal="left" vertical="top" wrapText="1" indent="1"/>
    </xf>
    <xf numFmtId="0" fontId="3" fillId="2" borderId="0" xfId="1" applyFont="1" applyFill="1" applyAlignment="1">
      <alignment horizontal="left" vertical="top" wrapText="1" indent="2"/>
    </xf>
    <xf numFmtId="0" fontId="3" fillId="2" borderId="0" xfId="1" applyFont="1" applyFill="1" applyAlignment="1">
      <alignment horizontal="right" vertical="top" wrapText="1" indent="1"/>
    </xf>
    <xf numFmtId="0" fontId="3" fillId="2" borderId="0" xfId="1" applyFont="1" applyFill="1" applyAlignment="1">
      <alignment horizontal="right" vertical="top" wrapText="1"/>
    </xf>
    <xf numFmtId="0" fontId="5" fillId="3" borderId="0" xfId="2" applyFont="1" applyFill="1"/>
    <xf numFmtId="0" fontId="6" fillId="0" borderId="0" xfId="0" applyFont="1" applyFill="1" applyAlignment="1">
      <alignment horizontal="left" vertical="top" wrapText="1"/>
    </xf>
    <xf numFmtId="1" fontId="7" fillId="0" borderId="0" xfId="0" applyNumberFormat="1" applyFont="1" applyFill="1" applyAlignment="1">
      <alignment horizontal="left" vertical="top" shrinkToFit="1"/>
    </xf>
    <xf numFmtId="1" fontId="7" fillId="0" borderId="0" xfId="0" applyNumberFormat="1" applyFont="1" applyFill="1" applyAlignment="1">
      <alignment horizontal="left" vertical="top" indent="1" shrinkToFit="1"/>
    </xf>
    <xf numFmtId="0" fontId="6" fillId="0" borderId="0" xfId="0" applyFont="1" applyFill="1" applyAlignment="1">
      <alignment horizontal="left" vertical="top" wrapText="1" indent="1"/>
    </xf>
    <xf numFmtId="166" fontId="7" fillId="0" borderId="0" xfId="0" applyNumberFormat="1" applyFont="1" applyFill="1" applyAlignment="1">
      <alignment horizontal="right" vertical="top" indent="1" shrinkToFit="1"/>
    </xf>
    <xf numFmtId="167" fontId="7" fillId="0" borderId="0" xfId="0" applyNumberFormat="1" applyFont="1" applyFill="1" applyAlignment="1">
      <alignment horizontal="right" vertical="top" indent="1" shrinkToFit="1"/>
    </xf>
    <xf numFmtId="167" fontId="7" fillId="0" borderId="0" xfId="0" applyNumberFormat="1" applyFont="1" applyFill="1" applyAlignment="1">
      <alignment horizontal="right" vertical="top" shrinkToFit="1"/>
    </xf>
    <xf numFmtId="0" fontId="0" fillId="0" borderId="0" xfId="0" applyFill="1" applyAlignment="1">
      <alignment horizontal="left" vertical="top"/>
    </xf>
    <xf numFmtId="0" fontId="1" fillId="0" borderId="0" xfId="0" applyFont="1" applyFill="1" applyAlignment="1">
      <alignment horizontal="left" vertical="top"/>
    </xf>
    <xf numFmtId="0" fontId="6" fillId="0" borderId="0" xfId="0" applyFont="1" applyFill="1" applyAlignment="1">
      <alignment vertical="top" wrapText="1"/>
    </xf>
    <xf numFmtId="167" fontId="7" fillId="0" borderId="0" xfId="0" applyNumberFormat="1" applyFont="1" applyFill="1" applyAlignment="1">
      <alignment vertical="top" shrinkToFit="1"/>
    </xf>
    <xf numFmtId="164" fontId="7" fillId="0" borderId="0" xfId="0" applyNumberFormat="1" applyFont="1" applyFill="1" applyAlignment="1">
      <alignment horizontal="left" vertical="top" shrinkToFit="1"/>
    </xf>
    <xf numFmtId="165" fontId="7" fillId="0" borderId="0" xfId="0" applyNumberFormat="1" applyFont="1" applyFill="1" applyAlignment="1">
      <alignment horizontal="left" vertical="top" indent="1" shrinkToFit="1"/>
    </xf>
    <xf numFmtId="166" fontId="7" fillId="0" borderId="0" xfId="0" applyNumberFormat="1" applyFont="1" applyFill="1" applyAlignment="1">
      <alignment vertical="top" shrinkToFit="1"/>
    </xf>
    <xf numFmtId="0" fontId="6" fillId="0" borderId="0" xfId="1" applyFont="1" applyFill="1" applyAlignment="1">
      <alignment horizontal="left" vertical="top" wrapText="1"/>
    </xf>
    <xf numFmtId="1" fontId="7" fillId="0" borderId="0" xfId="1" applyNumberFormat="1" applyFont="1" applyFill="1" applyAlignment="1">
      <alignment horizontal="left" vertical="top" shrinkToFit="1"/>
    </xf>
    <xf numFmtId="1" fontId="7" fillId="0" borderId="0" xfId="1" applyNumberFormat="1" applyFont="1" applyFill="1" applyAlignment="1">
      <alignment horizontal="left" vertical="top" indent="1" shrinkToFit="1"/>
    </xf>
    <xf numFmtId="0" fontId="6" fillId="0" borderId="0" xfId="1" applyFont="1" applyFill="1" applyAlignment="1">
      <alignment horizontal="left" vertical="top" wrapText="1" indent="1"/>
    </xf>
    <xf numFmtId="166" fontId="7" fillId="0" borderId="0" xfId="1" applyNumberFormat="1" applyFont="1" applyFill="1" applyAlignment="1">
      <alignment horizontal="right" vertical="top" indent="1" shrinkToFit="1"/>
    </xf>
    <xf numFmtId="167" fontId="7" fillId="0" borderId="0" xfId="1" applyNumberFormat="1" applyFont="1" applyFill="1" applyAlignment="1">
      <alignment horizontal="right" vertical="top" indent="1" shrinkToFit="1"/>
    </xf>
    <xf numFmtId="167" fontId="7" fillId="0" borderId="0" xfId="1" applyNumberFormat="1" applyFont="1" applyFill="1" applyAlignment="1">
      <alignment horizontal="right" vertical="top" shrinkToFit="1"/>
    </xf>
    <xf numFmtId="0" fontId="1" fillId="0" borderId="0" xfId="1" applyFill="1" applyAlignment="1">
      <alignment horizontal="left" vertical="top"/>
    </xf>
    <xf numFmtId="0" fontId="1" fillId="0" borderId="0" xfId="2" applyFont="1" applyFill="1" applyAlignment="1">
      <alignment horizontal="left" vertical="top"/>
    </xf>
    <xf numFmtId="0" fontId="8" fillId="0" borderId="0" xfId="2" applyFill="1" applyAlignment="1">
      <alignment horizontal="left" vertical="top"/>
    </xf>
    <xf numFmtId="0" fontId="6" fillId="0" borderId="0" xfId="2" applyFont="1" applyFill="1" applyAlignment="1">
      <alignment horizontal="left" vertical="top" wrapText="1"/>
    </xf>
    <xf numFmtId="1" fontId="7" fillId="0" borderId="0" xfId="2" applyNumberFormat="1" applyFont="1" applyFill="1" applyAlignment="1">
      <alignment horizontal="left" vertical="top" shrinkToFit="1"/>
    </xf>
    <xf numFmtId="1" fontId="7" fillId="0" borderId="0" xfId="2" applyNumberFormat="1" applyFont="1" applyFill="1" applyAlignment="1">
      <alignment horizontal="left" vertical="top" indent="1" shrinkToFit="1"/>
    </xf>
    <xf numFmtId="0" fontId="2" fillId="0" borderId="0" xfId="2" applyFont="1" applyFill="1" applyAlignment="1">
      <alignment horizontal="left" vertical="top" wrapText="1" indent="1"/>
    </xf>
    <xf numFmtId="166" fontId="7" fillId="0" borderId="0" xfId="2" applyNumberFormat="1" applyFont="1" applyFill="1" applyAlignment="1">
      <alignment horizontal="right" vertical="top" indent="1" shrinkToFit="1"/>
    </xf>
    <xf numFmtId="167" fontId="7" fillId="0" borderId="0" xfId="2" applyNumberFormat="1" applyFont="1" applyFill="1" applyAlignment="1">
      <alignment horizontal="right" vertical="top" indent="1" shrinkToFit="1"/>
    </xf>
    <xf numFmtId="167" fontId="7" fillId="0" borderId="0" xfId="2" applyNumberFormat="1" applyFont="1" applyFill="1" applyAlignment="1">
      <alignment horizontal="right" vertical="top" shrinkToFit="1"/>
    </xf>
    <xf numFmtId="164" fontId="7" fillId="0" borderId="0" xfId="2" applyNumberFormat="1" applyFont="1" applyFill="1" applyAlignment="1">
      <alignment horizontal="left" vertical="top" shrinkToFit="1"/>
    </xf>
    <xf numFmtId="0" fontId="6" fillId="0" borderId="0" xfId="2" applyFont="1" applyFill="1" applyAlignment="1">
      <alignment horizontal="left" vertical="top" wrapText="1" indent="1"/>
    </xf>
    <xf numFmtId="0" fontId="1" fillId="4" borderId="0" xfId="2" applyFont="1" applyFill="1" applyAlignment="1">
      <alignment horizontal="left" vertical="top"/>
    </xf>
    <xf numFmtId="0" fontId="1" fillId="4" borderId="0" xfId="1" applyFill="1" applyAlignment="1">
      <alignment horizontal="left" vertical="top"/>
    </xf>
    <xf numFmtId="0" fontId="8" fillId="4" borderId="0" xfId="2" applyFill="1" applyAlignment="1">
      <alignment horizontal="left" vertical="top"/>
    </xf>
    <xf numFmtId="167" fontId="7" fillId="4" borderId="0" xfId="2" applyNumberFormat="1" applyFont="1" applyFill="1" applyAlignment="1">
      <alignment horizontal="right" vertical="top" shrinkToFit="1"/>
    </xf>
    <xf numFmtId="167" fontId="7" fillId="4" borderId="0" xfId="2" applyNumberFormat="1" applyFont="1" applyFill="1" applyAlignment="1">
      <alignment vertical="top" shrinkToFit="1"/>
    </xf>
    <xf numFmtId="166" fontId="7" fillId="4" borderId="0" xfId="2" applyNumberFormat="1" applyFont="1" applyFill="1" applyAlignment="1">
      <alignment horizontal="right" vertical="top" indent="1" shrinkToFit="1"/>
    </xf>
    <xf numFmtId="1" fontId="7" fillId="4" borderId="0" xfId="2" applyNumberFormat="1" applyFont="1" applyFill="1" applyAlignment="1">
      <alignment horizontal="left" vertical="top" indent="1" shrinkToFit="1"/>
    </xf>
    <xf numFmtId="1" fontId="7" fillId="4" borderId="0" xfId="2" applyNumberFormat="1" applyFont="1" applyFill="1" applyAlignment="1">
      <alignment horizontal="left" vertical="top" shrinkToFit="1"/>
    </xf>
    <xf numFmtId="0" fontId="6" fillId="4" borderId="0" xfId="2" applyFont="1" applyFill="1" applyAlignment="1">
      <alignment horizontal="left" vertical="top" wrapText="1"/>
    </xf>
    <xf numFmtId="0" fontId="6" fillId="4" borderId="0" xfId="2" applyFont="1" applyFill="1" applyAlignment="1">
      <alignment vertical="top" wrapText="1"/>
    </xf>
    <xf numFmtId="164" fontId="7" fillId="4" borderId="0" xfId="2" applyNumberFormat="1" applyFont="1" applyFill="1" applyAlignment="1">
      <alignment horizontal="left" vertical="top" shrinkToFit="1"/>
    </xf>
    <xf numFmtId="167" fontId="7" fillId="4" borderId="0" xfId="1" applyNumberFormat="1" applyFont="1" applyFill="1" applyAlignment="1">
      <alignment horizontal="right" vertical="top" shrinkToFit="1"/>
    </xf>
    <xf numFmtId="167" fontId="7" fillId="4" borderId="0" xfId="1" applyNumberFormat="1" applyFont="1" applyFill="1" applyAlignment="1">
      <alignment horizontal="right" vertical="top" indent="1" shrinkToFit="1"/>
    </xf>
    <xf numFmtId="166" fontId="7" fillId="4" borderId="0" xfId="1" applyNumberFormat="1" applyFont="1" applyFill="1" applyAlignment="1">
      <alignment horizontal="right" vertical="top" indent="1" shrinkToFit="1"/>
    </xf>
    <xf numFmtId="0" fontId="6" fillId="4" borderId="0" xfId="1" applyFont="1" applyFill="1" applyAlignment="1">
      <alignment horizontal="left" vertical="top" wrapText="1" indent="1"/>
    </xf>
    <xf numFmtId="1" fontId="7" fillId="4" borderId="0" xfId="1" applyNumberFormat="1" applyFont="1" applyFill="1" applyAlignment="1">
      <alignment horizontal="left" vertical="top" indent="1" shrinkToFit="1"/>
    </xf>
    <xf numFmtId="164" fontId="7" fillId="4" borderId="0" xfId="1" applyNumberFormat="1" applyFont="1" applyFill="1" applyAlignment="1">
      <alignment horizontal="left" vertical="top" shrinkToFit="1"/>
    </xf>
    <xf numFmtId="0" fontId="6" fillId="4" borderId="0" xfId="1" applyFont="1" applyFill="1" applyAlignment="1">
      <alignment horizontal="left" vertical="top" wrapText="1"/>
    </xf>
    <xf numFmtId="1" fontId="7" fillId="4" borderId="0" xfId="1" applyNumberFormat="1" applyFont="1" applyFill="1" applyAlignment="1">
      <alignment horizontal="left" vertical="top" shrinkToFit="1"/>
    </xf>
  </cellXfs>
  <cellStyles count="4">
    <cellStyle name="Normal" xfId="0" builtinId="0"/>
    <cellStyle name="Normal 2" xfId="1" xr:uid="{48D13EC7-AF9F-4AE9-B261-ACF99CE2ABC9}"/>
    <cellStyle name="Normal 3" xfId="2" xr:uid="{870F286A-84C4-42BC-9A2C-4B816B0B7FA5}"/>
    <cellStyle name="Normal 3 2" xfId="3" xr:uid="{AF6B80E7-017B-4B79-82BA-C6438E2FF7A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95BAA0-D728-499F-8E5D-8D40A393BBA2}">
  <dimension ref="A1:N6"/>
  <sheetViews>
    <sheetView workbookViewId="0">
      <selection activeCell="D10" sqref="D10"/>
    </sheetView>
  </sheetViews>
  <sheetFormatPr baseColWidth="10" defaultColWidth="9.33203125" defaultRowHeight="12.75" x14ac:dyDescent="0.2"/>
  <cols>
    <col min="1" max="2" width="12.6640625" style="1" customWidth="1"/>
    <col min="3" max="3" width="11.33203125" style="1" customWidth="1"/>
    <col min="4" max="4" width="28" style="1" customWidth="1"/>
    <col min="5" max="5" width="13.1640625" style="1" customWidth="1"/>
    <col min="6" max="6" width="15.83203125" style="1" customWidth="1"/>
    <col min="7" max="7" width="12.5" style="1" customWidth="1"/>
    <col min="8" max="8" width="2.1640625" style="1" customWidth="1"/>
    <col min="9" max="9" width="2.5" style="1" customWidth="1"/>
    <col min="10" max="10" width="20.6640625" style="1" customWidth="1"/>
    <col min="11" max="11" width="23.1640625" style="1" bestFit="1" customWidth="1"/>
    <col min="12" max="12" width="9.33203125" style="1"/>
    <col min="13" max="13" width="12.5" style="1" bestFit="1" customWidth="1"/>
    <col min="14" max="14" width="10.1640625" style="1" bestFit="1" customWidth="1"/>
    <col min="15" max="16384" width="9.33203125" style="1"/>
  </cols>
  <sheetData>
    <row r="1" spans="1:14" ht="28.7" customHeight="1" x14ac:dyDescent="0.2">
      <c r="A1" s="2" t="s">
        <v>0</v>
      </c>
      <c r="B1" s="2" t="s">
        <v>1</v>
      </c>
      <c r="C1" s="3" t="s">
        <v>2</v>
      </c>
      <c r="D1" s="3" t="s">
        <v>3</v>
      </c>
      <c r="E1" s="4" t="s">
        <v>4</v>
      </c>
      <c r="F1" s="5" t="s">
        <v>5</v>
      </c>
      <c r="G1" s="6" t="s">
        <v>6</v>
      </c>
      <c r="J1" s="7" t="s">
        <v>7</v>
      </c>
      <c r="K1" s="7" t="s">
        <v>8</v>
      </c>
      <c r="L1" s="7" t="s">
        <v>9</v>
      </c>
      <c r="M1" s="7" t="s">
        <v>10</v>
      </c>
      <c r="N1" s="7" t="s">
        <v>11</v>
      </c>
    </row>
    <row r="2" spans="1:14" x14ac:dyDescent="0.2">
      <c r="A2" s="16" t="s">
        <v>12</v>
      </c>
      <c r="B2" s="17">
        <v>313341847</v>
      </c>
      <c r="C2" s="18">
        <v>1980</v>
      </c>
      <c r="D2" s="19" t="s">
        <v>13</v>
      </c>
      <c r="E2" s="20">
        <v>0</v>
      </c>
      <c r="F2" s="21">
        <v>2150000</v>
      </c>
      <c r="G2" s="22">
        <v>6572964</v>
      </c>
      <c r="H2" s="23"/>
      <c r="I2" s="23"/>
      <c r="J2" s="23" t="str">
        <f t="shared" ref="J2:J6" si="0">+D2</f>
        <v>Alq Auto</v>
      </c>
      <c r="K2" s="24" t="s">
        <v>14</v>
      </c>
      <c r="L2" s="23">
        <v>1041901</v>
      </c>
      <c r="M2" s="23">
        <v>0</v>
      </c>
      <c r="N2" s="8" t="s">
        <v>15</v>
      </c>
    </row>
    <row r="3" spans="1:14" x14ac:dyDescent="0.2">
      <c r="A3" s="16" t="s">
        <v>12</v>
      </c>
      <c r="B3" s="17">
        <v>313341868</v>
      </c>
      <c r="C3" s="18">
        <v>1980</v>
      </c>
      <c r="D3" s="19" t="s">
        <v>16</v>
      </c>
      <c r="E3" s="20">
        <v>0</v>
      </c>
      <c r="F3" s="21">
        <v>3221976</v>
      </c>
      <c r="G3" s="22">
        <v>3350988</v>
      </c>
      <c r="H3" s="23"/>
      <c r="I3" s="23"/>
      <c r="J3" s="23" t="str">
        <f t="shared" si="0"/>
        <v>Departamento</v>
      </c>
      <c r="K3" s="24" t="s">
        <v>14</v>
      </c>
      <c r="L3" s="23">
        <v>1041901</v>
      </c>
      <c r="M3" s="23">
        <v>0</v>
      </c>
      <c r="N3" s="8" t="s">
        <v>15</v>
      </c>
    </row>
    <row r="4" spans="1:14" x14ac:dyDescent="0.2">
      <c r="A4" s="16" t="s">
        <v>12</v>
      </c>
      <c r="B4" s="17">
        <v>313341896</v>
      </c>
      <c r="C4" s="18">
        <v>1980</v>
      </c>
      <c r="D4" s="19" t="s">
        <v>17</v>
      </c>
      <c r="E4" s="20">
        <v>0</v>
      </c>
      <c r="F4" s="21">
        <v>20550</v>
      </c>
      <c r="G4" s="22">
        <v>2645067</v>
      </c>
      <c r="H4" s="23"/>
      <c r="I4" s="23"/>
      <c r="J4" s="23" t="str">
        <f t="shared" si="0"/>
        <v>Saldo Cuenta</v>
      </c>
      <c r="K4" s="24" t="s">
        <v>18</v>
      </c>
      <c r="L4" s="23">
        <v>1041501</v>
      </c>
      <c r="M4" s="23">
        <v>776560642</v>
      </c>
      <c r="N4" s="8" t="s">
        <v>19</v>
      </c>
    </row>
    <row r="5" spans="1:14" x14ac:dyDescent="0.2">
      <c r="A5" s="16" t="s">
        <v>20</v>
      </c>
      <c r="B5" s="17">
        <v>315970939</v>
      </c>
      <c r="C5" s="18">
        <v>1980</v>
      </c>
      <c r="D5" s="25" t="s">
        <v>21</v>
      </c>
      <c r="E5" s="20">
        <v>0</v>
      </c>
      <c r="F5" s="26">
        <v>342720</v>
      </c>
      <c r="G5" s="22">
        <v>112493</v>
      </c>
      <c r="H5" s="23"/>
      <c r="I5" s="23"/>
      <c r="J5" s="23" t="str">
        <f t="shared" si="0"/>
        <v>C 06123 Rm</v>
      </c>
      <c r="K5" s="24" t="s">
        <v>18</v>
      </c>
      <c r="L5" s="23">
        <v>1041501</v>
      </c>
      <c r="M5" s="23">
        <v>776560642</v>
      </c>
      <c r="N5" s="8" t="s">
        <v>19</v>
      </c>
    </row>
    <row r="6" spans="1:14" x14ac:dyDescent="0.2">
      <c r="A6" s="16" t="s">
        <v>22</v>
      </c>
      <c r="B6" s="27">
        <v>0</v>
      </c>
      <c r="C6" s="28">
        <v>1980</v>
      </c>
      <c r="D6" s="25" t="s">
        <v>23</v>
      </c>
      <c r="E6" s="21">
        <v>0</v>
      </c>
      <c r="F6" s="29">
        <v>140097</v>
      </c>
      <c r="G6" s="22">
        <v>160755</v>
      </c>
      <c r="H6" s="23"/>
      <c r="I6" s="23"/>
      <c r="J6" s="23" t="str">
        <f t="shared" si="0"/>
        <v>Compra/venta Divisas Sucursal</v>
      </c>
      <c r="K6" s="24" t="s">
        <v>18</v>
      </c>
      <c r="L6" s="23">
        <v>1041501</v>
      </c>
      <c r="M6" s="23">
        <v>776560642</v>
      </c>
      <c r="N6" s="1" t="s">
        <v>42</v>
      </c>
    </row>
  </sheetData>
  <pageMargins left="0.7" right="0.7" top="0.75" bottom="0.75" header="0.3" footer="0.3"/>
  <headerFooter>
    <oddFooter>&amp;C_x000D_&amp;1#&amp;"Calibri"&amp;10&amp;K000000 Clasificación: Interno, no apto para su distribución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9270E9-7925-4D80-B21C-68363A6E6779}">
  <dimension ref="A1:N10"/>
  <sheetViews>
    <sheetView workbookViewId="0">
      <selection activeCell="D10" sqref="D10"/>
    </sheetView>
  </sheetViews>
  <sheetFormatPr baseColWidth="10" defaultColWidth="9.33203125" defaultRowHeight="12.75" x14ac:dyDescent="0.2"/>
  <cols>
    <col min="1" max="2" width="12.6640625" style="9" customWidth="1"/>
    <col min="3" max="3" width="11.33203125" style="9" customWidth="1"/>
    <col min="4" max="4" width="28" style="9" customWidth="1"/>
    <col min="5" max="5" width="13.1640625" style="9" customWidth="1"/>
    <col min="6" max="6" width="15.83203125" style="9" customWidth="1"/>
    <col min="7" max="7" width="12.5" style="9" customWidth="1"/>
    <col min="8" max="8" width="2.1640625" style="9" customWidth="1"/>
    <col min="9" max="9" width="2.5" style="9" customWidth="1"/>
    <col min="10" max="10" width="30.5" style="9" bestFit="1" customWidth="1"/>
    <col min="11" max="12" width="9.33203125" style="9"/>
    <col min="13" max="13" width="12.5" style="9" bestFit="1" customWidth="1"/>
    <col min="14" max="16384" width="9.33203125" style="9"/>
  </cols>
  <sheetData>
    <row r="1" spans="1:14" ht="28.7" customHeight="1" x14ac:dyDescent="0.2">
      <c r="A1" s="10" t="s">
        <v>0</v>
      </c>
      <c r="B1" s="10" t="s">
        <v>1</v>
      </c>
      <c r="C1" s="11" t="s">
        <v>2</v>
      </c>
      <c r="D1" s="11" t="s">
        <v>3</v>
      </c>
      <c r="E1" s="12" t="s">
        <v>4</v>
      </c>
      <c r="F1" s="13" t="s">
        <v>5</v>
      </c>
      <c r="G1" s="14" t="s">
        <v>6</v>
      </c>
      <c r="J1" s="15" t="s">
        <v>7</v>
      </c>
      <c r="K1" s="15" t="s">
        <v>8</v>
      </c>
      <c r="L1" s="15" t="s">
        <v>9</v>
      </c>
      <c r="M1" s="15" t="s">
        <v>10</v>
      </c>
      <c r="N1" s="15" t="s">
        <v>11</v>
      </c>
    </row>
    <row r="2" spans="1:14" ht="15" x14ac:dyDescent="0.2">
      <c r="A2" s="30" t="s">
        <v>24</v>
      </c>
      <c r="B2" s="31">
        <v>318759805</v>
      </c>
      <c r="C2" s="32">
        <v>1980</v>
      </c>
      <c r="D2" s="33" t="s">
        <v>25</v>
      </c>
      <c r="E2" s="34">
        <v>0</v>
      </c>
      <c r="F2" s="35">
        <v>778498</v>
      </c>
      <c r="G2" s="36">
        <v>10264101</v>
      </c>
      <c r="H2" s="37"/>
      <c r="I2" s="37"/>
      <c r="J2" s="37" t="str">
        <f t="shared" ref="J2:J10" si="0">D2</f>
        <v>Easy Point</v>
      </c>
      <c r="K2" s="38" t="s">
        <v>14</v>
      </c>
      <c r="L2" s="39">
        <v>1041901</v>
      </c>
      <c r="M2" s="37">
        <v>771903932</v>
      </c>
      <c r="N2" s="9" t="s">
        <v>43</v>
      </c>
    </row>
    <row r="3" spans="1:14" ht="15" x14ac:dyDescent="0.2">
      <c r="A3" s="40" t="s">
        <v>27</v>
      </c>
      <c r="B3" s="41">
        <v>319864164</v>
      </c>
      <c r="C3" s="42">
        <v>1980</v>
      </c>
      <c r="D3" s="43" t="s">
        <v>28</v>
      </c>
      <c r="E3" s="44">
        <v>0</v>
      </c>
      <c r="F3" s="45">
        <v>710439</v>
      </c>
      <c r="G3" s="46">
        <v>177563</v>
      </c>
      <c r="H3" s="37"/>
      <c r="I3" s="37"/>
      <c r="J3" s="37" t="str">
        <f t="shared" si="0"/>
        <v>C06523</v>
      </c>
      <c r="K3" s="38" t="s">
        <v>18</v>
      </c>
      <c r="L3" s="39">
        <v>1041501</v>
      </c>
      <c r="M3" s="37">
        <v>776560642</v>
      </c>
      <c r="N3" s="9" t="s">
        <v>29</v>
      </c>
    </row>
    <row r="4" spans="1:14" ht="15" x14ac:dyDescent="0.2">
      <c r="A4" s="40" t="s">
        <v>30</v>
      </c>
      <c r="B4" s="47">
        <v>896504</v>
      </c>
      <c r="C4" s="42">
        <v>1980</v>
      </c>
      <c r="D4" s="48" t="s">
        <v>31</v>
      </c>
      <c r="E4" s="44">
        <v>0</v>
      </c>
      <c r="F4" s="45">
        <v>37872709</v>
      </c>
      <c r="G4" s="46">
        <v>2897104</v>
      </c>
      <c r="H4" s="37"/>
      <c r="I4" s="37"/>
      <c r="J4" s="37" t="str">
        <f t="shared" si="0"/>
        <v>Proveedor Easy Point</v>
      </c>
      <c r="K4" s="38" t="s">
        <v>14</v>
      </c>
      <c r="L4" s="39">
        <v>1041901</v>
      </c>
      <c r="M4" s="37">
        <v>771903932</v>
      </c>
      <c r="N4" s="9" t="s">
        <v>44</v>
      </c>
    </row>
    <row r="5" spans="1:14" ht="15" x14ac:dyDescent="0.2">
      <c r="A5" s="40" t="s">
        <v>30</v>
      </c>
      <c r="B5" s="47">
        <v>0</v>
      </c>
      <c r="C5" s="42">
        <v>1980</v>
      </c>
      <c r="D5" s="43" t="s">
        <v>32</v>
      </c>
      <c r="E5" s="45">
        <v>36723052</v>
      </c>
      <c r="F5" s="44">
        <v>0</v>
      </c>
      <c r="G5" s="46">
        <v>39620156</v>
      </c>
      <c r="H5" s="37"/>
      <c r="I5" s="37"/>
      <c r="J5" s="37" t="str">
        <f t="shared" si="0"/>
        <v>Cp Credito Pago A Proveedores</v>
      </c>
      <c r="K5" s="38" t="s">
        <v>18</v>
      </c>
      <c r="L5" s="39">
        <v>1041501</v>
      </c>
      <c r="M5" s="37">
        <v>776560642</v>
      </c>
      <c r="N5" s="9" t="s">
        <v>33</v>
      </c>
    </row>
    <row r="6" spans="1:14" ht="15" x14ac:dyDescent="0.2">
      <c r="A6" s="40" t="s">
        <v>34</v>
      </c>
      <c r="B6" s="47">
        <v>881323</v>
      </c>
      <c r="C6" s="42">
        <v>1980</v>
      </c>
      <c r="D6" s="48" t="s">
        <v>35</v>
      </c>
      <c r="E6" s="44">
        <v>0</v>
      </c>
      <c r="F6" s="45">
        <v>36723052</v>
      </c>
      <c r="G6" s="46">
        <v>2788801</v>
      </c>
      <c r="H6" s="37"/>
      <c r="I6" s="37"/>
      <c r="J6" s="37" t="str">
        <f t="shared" si="0"/>
        <v>Pago Efectuado A Proveedores</v>
      </c>
      <c r="K6" s="38" t="s">
        <v>14</v>
      </c>
      <c r="L6" s="39">
        <v>1041901</v>
      </c>
      <c r="M6" s="37">
        <v>99999999</v>
      </c>
      <c r="N6" s="9" t="s">
        <v>26</v>
      </c>
    </row>
    <row r="7" spans="1:14" ht="15" x14ac:dyDescent="0.2">
      <c r="A7" s="40" t="s">
        <v>34</v>
      </c>
      <c r="B7" s="41">
        <v>320699567</v>
      </c>
      <c r="C7" s="42">
        <v>1980</v>
      </c>
      <c r="D7" s="48" t="s">
        <v>36</v>
      </c>
      <c r="E7" s="44">
        <v>0</v>
      </c>
      <c r="F7" s="45">
        <v>1288499</v>
      </c>
      <c r="G7" s="46">
        <v>1500302</v>
      </c>
      <c r="H7" s="37"/>
      <c r="I7" s="37"/>
      <c r="J7" s="37" t="str">
        <f t="shared" si="0"/>
        <v>Compratecno</v>
      </c>
      <c r="K7" s="38" t="s">
        <v>14</v>
      </c>
      <c r="L7" s="39">
        <v>1041901</v>
      </c>
      <c r="M7" s="37">
        <v>99999999</v>
      </c>
      <c r="N7" s="9" t="s">
        <v>45</v>
      </c>
    </row>
    <row r="8" spans="1:14" ht="15" x14ac:dyDescent="0.2">
      <c r="A8" s="40" t="s">
        <v>37</v>
      </c>
      <c r="B8" s="47">
        <v>0</v>
      </c>
      <c r="C8" s="42">
        <v>1980</v>
      </c>
      <c r="D8" s="48" t="s">
        <v>23</v>
      </c>
      <c r="E8" s="44">
        <v>0</v>
      </c>
      <c r="F8" s="45">
        <v>134329</v>
      </c>
      <c r="G8" s="46">
        <v>1179234</v>
      </c>
      <c r="H8" s="37"/>
      <c r="I8" s="37"/>
      <c r="J8" s="37" t="str">
        <f t="shared" si="0"/>
        <v>Compra/venta Divisas Sucursal</v>
      </c>
      <c r="K8" s="38" t="s">
        <v>18</v>
      </c>
      <c r="L8" s="39">
        <v>1041501</v>
      </c>
      <c r="M8" s="37">
        <v>970230009</v>
      </c>
      <c r="N8" s="9" t="s">
        <v>38</v>
      </c>
    </row>
    <row r="9" spans="1:14" ht="15" x14ac:dyDescent="0.2">
      <c r="A9" s="40" t="s">
        <v>39</v>
      </c>
      <c r="B9" s="41">
        <v>323144760</v>
      </c>
      <c r="C9" s="42">
        <v>1980</v>
      </c>
      <c r="D9" s="48" t="s">
        <v>36</v>
      </c>
      <c r="E9" s="44">
        <v>0</v>
      </c>
      <c r="F9" s="45">
        <v>42523</v>
      </c>
      <c r="G9" s="46">
        <v>104365</v>
      </c>
      <c r="H9" s="37"/>
      <c r="I9" s="37"/>
      <c r="J9" s="37" t="str">
        <f t="shared" si="0"/>
        <v>Compratecno</v>
      </c>
      <c r="K9" s="38" t="s">
        <v>14</v>
      </c>
      <c r="L9" s="39">
        <v>1041901</v>
      </c>
      <c r="M9" s="37">
        <v>99999999</v>
      </c>
      <c r="N9" s="9" t="s">
        <v>45</v>
      </c>
    </row>
    <row r="10" spans="1:14" ht="15" x14ac:dyDescent="0.2">
      <c r="A10" s="40" t="s">
        <v>40</v>
      </c>
      <c r="B10" s="41">
        <v>325380612</v>
      </c>
      <c r="C10" s="42">
        <v>1980</v>
      </c>
      <c r="D10" s="48" t="s">
        <v>41</v>
      </c>
      <c r="E10" s="44">
        <v>0</v>
      </c>
      <c r="F10" s="45">
        <v>893937</v>
      </c>
      <c r="G10" s="46">
        <v>1033731</v>
      </c>
      <c r="H10" s="37"/>
      <c r="I10" s="37"/>
      <c r="J10" s="37" t="str">
        <f t="shared" si="0"/>
        <v>Easy Point Varios</v>
      </c>
      <c r="K10" s="38" t="s">
        <v>14</v>
      </c>
      <c r="L10" s="39">
        <v>1041901</v>
      </c>
      <c r="M10" s="37">
        <v>771903932</v>
      </c>
      <c r="N10" s="9" t="s">
        <v>43</v>
      </c>
    </row>
  </sheetData>
  <pageMargins left="0.7" right="0.7" top="0.75" bottom="0.75" header="0.3" footer="0.3"/>
  <pageSetup orientation="portrait" r:id="rId1"/>
  <headerFooter>
    <oddFooter>&amp;C_x000D_&amp;1#&amp;"Calibri"&amp;10&amp;K000000 Clasificación: Interno, no apto para su distribución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259B51-5495-49B0-802F-2E5F013524B2}">
  <dimension ref="A1:N9"/>
  <sheetViews>
    <sheetView tabSelected="1" workbookViewId="0">
      <selection activeCell="H16" sqref="H16"/>
    </sheetView>
  </sheetViews>
  <sheetFormatPr baseColWidth="10" defaultColWidth="9.33203125" defaultRowHeight="12.75" x14ac:dyDescent="0.2"/>
  <cols>
    <col min="1" max="2" width="12.6640625" style="9" customWidth="1"/>
    <col min="3" max="3" width="11.33203125" style="9" customWidth="1"/>
    <col min="4" max="4" width="27.5" style="9" customWidth="1"/>
    <col min="5" max="5" width="13.33203125" style="9" customWidth="1"/>
    <col min="6" max="6" width="15.33203125" style="9" customWidth="1"/>
    <col min="7" max="7" width="12.83203125" style="9" customWidth="1"/>
    <col min="8" max="8" width="2.1640625" style="9" customWidth="1"/>
    <col min="9" max="9" width="2.5" style="9" customWidth="1"/>
    <col min="10" max="12" width="9.33203125" style="9"/>
    <col min="13" max="13" width="12.5" style="9" bestFit="1" customWidth="1"/>
    <col min="14" max="16384" width="9.33203125" style="9"/>
  </cols>
  <sheetData>
    <row r="1" spans="1:14" ht="28.7" customHeight="1" x14ac:dyDescent="0.2">
      <c r="A1" s="10" t="s">
        <v>0</v>
      </c>
      <c r="B1" s="10" t="s">
        <v>1</v>
      </c>
      <c r="C1" s="11" t="s">
        <v>2</v>
      </c>
      <c r="D1" s="11" t="s">
        <v>3</v>
      </c>
      <c r="E1" s="12" t="s">
        <v>4</v>
      </c>
      <c r="F1" s="13" t="s">
        <v>5</v>
      </c>
      <c r="G1" s="14" t="s">
        <v>6</v>
      </c>
      <c r="J1" s="15" t="s">
        <v>7</v>
      </c>
      <c r="K1" s="15" t="s">
        <v>8</v>
      </c>
      <c r="L1" s="15" t="s">
        <v>9</v>
      </c>
      <c r="M1" s="15" t="s">
        <v>10</v>
      </c>
      <c r="N1" s="15" t="s">
        <v>11</v>
      </c>
    </row>
    <row r="2" spans="1:14" ht="15" x14ac:dyDescent="0.2">
      <c r="A2" s="66" t="s">
        <v>58</v>
      </c>
      <c r="B2" s="65">
        <v>895518</v>
      </c>
      <c r="C2" s="64">
        <v>1980</v>
      </c>
      <c r="D2" s="63" t="s">
        <v>35</v>
      </c>
      <c r="E2" s="62">
        <v>0</v>
      </c>
      <c r="F2" s="61">
        <v>241347754</v>
      </c>
      <c r="G2" s="60">
        <v>901107</v>
      </c>
      <c r="H2" s="50"/>
      <c r="I2" s="50"/>
      <c r="J2" s="50" t="str">
        <f>+D2</f>
        <v>Pago Efectuado A Proveedores</v>
      </c>
      <c r="K2" s="49" t="s">
        <v>14</v>
      </c>
      <c r="L2" s="51">
        <v>1041901</v>
      </c>
      <c r="M2" s="50">
        <v>99999999</v>
      </c>
      <c r="N2" s="9" t="s">
        <v>26</v>
      </c>
    </row>
    <row r="3" spans="1:14" ht="15" x14ac:dyDescent="0.2">
      <c r="A3" s="66" t="s">
        <v>57</v>
      </c>
      <c r="B3" s="65">
        <v>0</v>
      </c>
      <c r="C3" s="64">
        <v>1980</v>
      </c>
      <c r="D3" s="63" t="s">
        <v>23</v>
      </c>
      <c r="E3" s="62">
        <v>0</v>
      </c>
      <c r="F3" s="61">
        <v>132885</v>
      </c>
      <c r="G3" s="60">
        <v>659430</v>
      </c>
      <c r="H3" s="50"/>
      <c r="I3" s="50"/>
      <c r="J3" s="50" t="str">
        <f>+D3</f>
        <v>Compra/venta Divisas Sucursal</v>
      </c>
      <c r="K3" s="49" t="s">
        <v>18</v>
      </c>
      <c r="L3" s="51">
        <v>1041501</v>
      </c>
      <c r="M3" s="50">
        <v>970230009</v>
      </c>
      <c r="N3" s="9" t="s">
        <v>38</v>
      </c>
    </row>
    <row r="4" spans="1:14" ht="15" x14ac:dyDescent="0.2">
      <c r="A4" s="66" t="s">
        <v>56</v>
      </c>
      <c r="B4" s="67">
        <v>329550804</v>
      </c>
      <c r="C4" s="64">
        <v>1980</v>
      </c>
      <c r="D4" s="63" t="s">
        <v>55</v>
      </c>
      <c r="E4" s="61">
        <v>232170</v>
      </c>
      <c r="F4" s="62">
        <v>0</v>
      </c>
      <c r="G4" s="60">
        <v>891600</v>
      </c>
      <c r="H4" s="50"/>
      <c r="I4" s="50"/>
      <c r="J4" s="50" t="str">
        <f>+D4</f>
        <v>Transferencia De Grupo Monteca</v>
      </c>
      <c r="K4" s="49" t="s">
        <v>18</v>
      </c>
      <c r="L4" s="51">
        <v>1041501</v>
      </c>
      <c r="M4" s="50">
        <v>774500820</v>
      </c>
      <c r="N4" s="9" t="s">
        <v>54</v>
      </c>
    </row>
    <row r="5" spans="1:14" ht="15" x14ac:dyDescent="0.2">
      <c r="A5" s="66" t="s">
        <v>53</v>
      </c>
      <c r="B5" s="67">
        <v>330347946</v>
      </c>
      <c r="C5" s="64">
        <v>1980</v>
      </c>
      <c r="D5" s="63" t="s">
        <v>52</v>
      </c>
      <c r="E5" s="62">
        <v>0</v>
      </c>
      <c r="F5" s="61">
        <v>116139</v>
      </c>
      <c r="G5" s="60">
        <v>775461</v>
      </c>
      <c r="H5" s="50"/>
      <c r="I5" s="50"/>
      <c r="J5" s="50" t="str">
        <f>+D5</f>
        <v>1z17e4v30410894414</v>
      </c>
      <c r="K5" s="49" t="s">
        <v>18</v>
      </c>
      <c r="L5" s="51">
        <v>1041501</v>
      </c>
      <c r="M5" s="50">
        <v>99999999</v>
      </c>
      <c r="N5" s="9" t="s">
        <v>51</v>
      </c>
    </row>
    <row r="6" spans="1:14" ht="15" x14ac:dyDescent="0.2">
      <c r="A6" s="66" t="s">
        <v>50</v>
      </c>
      <c r="B6" s="65">
        <v>0</v>
      </c>
      <c r="C6" s="64">
        <v>1980</v>
      </c>
      <c r="D6" s="63" t="s">
        <v>23</v>
      </c>
      <c r="E6" s="62">
        <v>0</v>
      </c>
      <c r="F6" s="61">
        <v>131097</v>
      </c>
      <c r="G6" s="60">
        <v>644364</v>
      </c>
      <c r="H6" s="50"/>
      <c r="I6" s="50"/>
      <c r="J6" s="50" t="str">
        <f>+D6</f>
        <v>Compra/venta Divisas Sucursal</v>
      </c>
      <c r="K6" s="49" t="s">
        <v>18</v>
      </c>
      <c r="L6" s="51">
        <v>1041501</v>
      </c>
      <c r="M6" s="50">
        <v>970230009</v>
      </c>
      <c r="N6" s="9" t="s">
        <v>38</v>
      </c>
    </row>
    <row r="7" spans="1:14" ht="15" x14ac:dyDescent="0.2">
      <c r="A7" s="57" t="s">
        <v>47</v>
      </c>
      <c r="B7" s="56">
        <v>332882867</v>
      </c>
      <c r="C7" s="55">
        <v>1980</v>
      </c>
      <c r="D7" s="58" t="s">
        <v>49</v>
      </c>
      <c r="E7" s="54">
        <v>0</v>
      </c>
      <c r="F7" s="53">
        <v>1677893</v>
      </c>
      <c r="G7" s="52">
        <v>1365800</v>
      </c>
      <c r="H7" s="50"/>
      <c r="I7" s="50"/>
      <c r="J7" s="50" t="str">
        <f>+D7</f>
        <v>Pasajes Proyesco</v>
      </c>
      <c r="K7" s="49" t="s">
        <v>14</v>
      </c>
      <c r="L7" s="51">
        <v>1041901</v>
      </c>
      <c r="M7" s="50">
        <v>99999999</v>
      </c>
      <c r="N7" s="9" t="s">
        <v>26</v>
      </c>
    </row>
    <row r="8" spans="1:14" ht="15" x14ac:dyDescent="0.2">
      <c r="A8" s="57" t="s">
        <v>47</v>
      </c>
      <c r="B8" s="56">
        <v>332882889</v>
      </c>
      <c r="C8" s="55">
        <v>1980</v>
      </c>
      <c r="D8" s="58" t="s">
        <v>48</v>
      </c>
      <c r="E8" s="54">
        <v>0</v>
      </c>
      <c r="F8" s="53">
        <v>690000</v>
      </c>
      <c r="G8" s="52">
        <v>675800</v>
      </c>
      <c r="H8" s="50"/>
      <c r="I8" s="50"/>
      <c r="J8" s="50" t="str">
        <f>+D8</f>
        <v>Depto Proyesco</v>
      </c>
      <c r="K8" s="49" t="s">
        <v>14</v>
      </c>
      <c r="L8" s="51">
        <v>1041901</v>
      </c>
      <c r="M8" s="50">
        <v>99999999</v>
      </c>
      <c r="N8" s="9" t="s">
        <v>26</v>
      </c>
    </row>
    <row r="9" spans="1:14" ht="15" x14ac:dyDescent="0.2">
      <c r="A9" s="57" t="s">
        <v>47</v>
      </c>
      <c r="B9" s="59">
        <v>0</v>
      </c>
      <c r="C9" s="55">
        <v>1980</v>
      </c>
      <c r="D9" s="58" t="s">
        <v>23</v>
      </c>
      <c r="E9" s="54">
        <v>0</v>
      </c>
      <c r="F9" s="53">
        <v>133749</v>
      </c>
      <c r="G9" s="52">
        <v>542051</v>
      </c>
      <c r="H9" s="50"/>
      <c r="I9" s="50"/>
      <c r="J9" s="50" t="str">
        <f>+D9</f>
        <v>Compra/venta Divisas Sucursal</v>
      </c>
      <c r="K9" s="49" t="s">
        <v>18</v>
      </c>
      <c r="L9" s="51">
        <v>1041501</v>
      </c>
      <c r="M9" s="50">
        <v>970230009</v>
      </c>
      <c r="N9" s="9" t="s">
        <v>46</v>
      </c>
    </row>
  </sheetData>
  <pageMargins left="0.7" right="0.7" top="0.75" bottom="0.75" header="0.3" footer="0.3"/>
  <headerFooter>
    <oddFooter>&amp;C_x000D_&amp;1#&amp;"Calibri"&amp;10&amp;K000000 Clasificación: Interno, no apto para su distribución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C0FDD3EE9C26F4CA38A0CE1A876A831" ma:contentTypeVersion="13" ma:contentTypeDescription="Crear nuevo documento." ma:contentTypeScope="" ma:versionID="16cf257b6c387c7fea6f0b759aa0b013">
  <xsd:schema xmlns:xsd="http://www.w3.org/2001/XMLSchema" xmlns:xs="http://www.w3.org/2001/XMLSchema" xmlns:p="http://schemas.microsoft.com/office/2006/metadata/properties" xmlns:ns2="fa8ec313-c772-4af8-8363-8ff52de2e6b8" xmlns:ns3="6a7ff2fa-cd4c-4111-a6ab-75351164d87f" targetNamespace="http://schemas.microsoft.com/office/2006/metadata/properties" ma:root="true" ma:fieldsID="8d0af6c36f4bb39778c9f918492ed4d2" ns2:_="" ns3:_="">
    <xsd:import namespace="fa8ec313-c772-4af8-8363-8ff52de2e6b8"/>
    <xsd:import namespace="6a7ff2fa-cd4c-4111-a6ab-75351164d87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8ec313-c772-4af8-8363-8ff52de2e6b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Etiquetas de imagen" ma:readOnly="false" ma:fieldId="{5cf76f15-5ced-4ddc-b409-7134ff3c332f}" ma:taxonomyMulti="true" ma:sspId="a8628a9a-fe43-4aa1-831f-7a8d34a1dc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7ff2fa-cd4c-4111-a6ab-75351164d87f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e79fc52-165f-40d1-92ec-16de0f3dee68}" ma:internalName="TaxCatchAll" ma:showField="CatchAllData" ma:web="6a7ff2fa-cd4c-4111-a6ab-75351164d87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51143CB-ABF2-4C92-AB2E-9A9DF5BB0555}"/>
</file>

<file path=customXml/itemProps2.xml><?xml version="1.0" encoding="utf-8"?>
<ds:datastoreItem xmlns:ds="http://schemas.openxmlformats.org/officeDocument/2006/customXml" ds:itemID="{38B7D4A4-DCEE-4868-A0BB-9AD7ACF057C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OCTUBRE</vt:lpstr>
      <vt:lpstr>NOVIEMBRE</vt:lpstr>
      <vt:lpstr>DICIEMBRE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Valentina Belen Ayala Leon</dc:creator>
  <cp:lastModifiedBy>Valentina Belen Ayala Leon</cp:lastModifiedBy>
  <dcterms:created xsi:type="dcterms:W3CDTF">2024-02-06T15:24:30Z</dcterms:created>
  <dcterms:modified xsi:type="dcterms:W3CDTF">2024-02-06T16:54:54Z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93d2621-260c-42db-8aea-42fd547000da_Enabled">
    <vt:lpwstr>true</vt:lpwstr>
  </property>
  <property fmtid="{D5CDD505-2E9C-101B-9397-08002B2CF9AE}" pid="3" name="MSIP_Label_293d2621-260c-42db-8aea-42fd547000da_SetDate">
    <vt:lpwstr>2024-02-06T15:34:08Z</vt:lpwstr>
  </property>
  <property fmtid="{D5CDD505-2E9C-101B-9397-08002B2CF9AE}" pid="4" name="MSIP_Label_293d2621-260c-42db-8aea-42fd547000da_Method">
    <vt:lpwstr>Privileged</vt:lpwstr>
  </property>
  <property fmtid="{D5CDD505-2E9C-101B-9397-08002B2CF9AE}" pid="5" name="MSIP_Label_293d2621-260c-42db-8aea-42fd547000da_Name">
    <vt:lpwstr>Interno</vt:lpwstr>
  </property>
  <property fmtid="{D5CDD505-2E9C-101B-9397-08002B2CF9AE}" pid="6" name="MSIP_Label_293d2621-260c-42db-8aea-42fd547000da_SiteId">
    <vt:lpwstr>ad9dc499-26eb-41de-90c1-2c7cfce752f9</vt:lpwstr>
  </property>
  <property fmtid="{D5CDD505-2E9C-101B-9397-08002B2CF9AE}" pid="7" name="MSIP_Label_293d2621-260c-42db-8aea-42fd547000da_ActionId">
    <vt:lpwstr>502d1337-3013-48cc-bece-3064dc148130</vt:lpwstr>
  </property>
  <property fmtid="{D5CDD505-2E9C-101B-9397-08002B2CF9AE}" pid="8" name="MSIP_Label_293d2621-260c-42db-8aea-42fd547000da_ContentBits">
    <vt:lpwstr>2</vt:lpwstr>
  </property>
</Properties>
</file>