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https://proyescouy.sharepoint.com/sites/PSC_Logistica/Documentos compartidos/PSC Chile/Packing Lists/2024/C1012-01-PL/"/>
    </mc:Choice>
  </mc:AlternateContent>
  <xr:revisionPtr revIDLastSave="7" documentId="8_{2C043E1B-B10A-4E5F-8BFD-682509023854}" xr6:coauthVersionLast="47" xr6:coauthVersionMax="47" xr10:uidLastSave="{4223F54F-3649-4322-A164-38A27A06A12E}"/>
  <bookViews>
    <workbookView xWindow="-108" yWindow="-108" windowWidth="23256" windowHeight="12456" firstSheet="1" activeTab="1" xr2:uid="{00000000-000D-0000-FFFF-FFFF00000000}"/>
  </bookViews>
  <sheets>
    <sheet name="Informacion para PL" sheetId="18" state="hidden" r:id="rId1"/>
    <sheet name="PL" sheetId="19" r:id="rId2"/>
  </sheets>
  <definedNames>
    <definedName name="__xlnm.Print_Area_1">#REF!</definedName>
    <definedName name="__xlnm.Print_Area_2">#REF!</definedName>
    <definedName name="__xlnm.Print_Titles_1">#REF!</definedName>
    <definedName name="_xlnm.Print_Area" localSheetId="1">PL!$B$2:$K$46</definedName>
    <definedName name="dfgd">#REF!</definedName>
    <definedName name="Excel_BuiltIn_Print_Titles_2_1">#REF!</definedName>
    <definedName name="Excel_BuiltIn_Print_Titles_2_1_1">#REF!</definedName>
    <definedName name="p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19" l="1"/>
  <c r="J39" i="19"/>
  <c r="I39" i="19"/>
  <c r="I23" i="19"/>
  <c r="I28" i="19"/>
  <c r="J28" i="19"/>
</calcChain>
</file>

<file path=xl/sharedStrings.xml><?xml version="1.0" encoding="utf-8"?>
<sst xmlns="http://schemas.openxmlformats.org/spreadsheetml/2006/main" count="84" uniqueCount="82">
  <si>
    <t>4225-4225CDD062COM</t>
  </si>
  <si>
    <t>Gabinetes/equipos (Pta Desaladora) sist com, compuetos por:</t>
  </si>
  <si>
    <t>20</t>
  </si>
  <si>
    <t>4225-4225CDU062COM</t>
  </si>
  <si>
    <t>Gabinetes/equipos (CD Ujina) sist com, compuetos por:</t>
  </si>
  <si>
    <t>30</t>
  </si>
  <si>
    <t>4225-4225PS1062COM</t>
  </si>
  <si>
    <t>Gabinetes/equipos (PS1) sist com, compuetos por:</t>
  </si>
  <si>
    <t>40</t>
  </si>
  <si>
    <t>4225-4225PS2062COM</t>
  </si>
  <si>
    <t>Gabinetes/equipos (PS2) sist com, compuetos por:</t>
  </si>
  <si>
    <t>50</t>
  </si>
  <si>
    <t>4225-4225PS3062COM</t>
  </si>
  <si>
    <t>Gabinetes/equipos (PS3) sist com, compuetos por:</t>
  </si>
  <si>
    <t>60</t>
  </si>
  <si>
    <t>4225-4225PS4062COM</t>
  </si>
  <si>
    <t>Gabinetes/equipos (PS4) sist com, compuetos por:</t>
  </si>
  <si>
    <t>70</t>
  </si>
  <si>
    <t>4225-4225PS5062COM</t>
  </si>
  <si>
    <t>Gabinetes/equipos (PS5) sist com, compuetos por:</t>
  </si>
  <si>
    <t>80</t>
  </si>
  <si>
    <t>4225-4225TRS062COM</t>
  </si>
  <si>
    <t>Gabinetes/equipos (TRS) sist com, compuetos por:</t>
  </si>
  <si>
    <t>90</t>
  </si>
  <si>
    <t>4225-4225TS062COM</t>
  </si>
  <si>
    <t>Gabinetes/equipos (TS) sist com, compuetos por:</t>
  </si>
  <si>
    <t>100</t>
  </si>
  <si>
    <t>4225-4225GL062R3Y</t>
  </si>
  <si>
    <t>Repuestos 3 años sist com, compuetos por:</t>
  </si>
  <si>
    <t>4225-4225GL062RPEM</t>
  </si>
  <si>
    <t>Repuestos pem sist com, compuetos por:</t>
  </si>
  <si>
    <t>PACKING LIST</t>
  </si>
  <si>
    <t>PL NUMBER</t>
  </si>
  <si>
    <t>RUT: 77.656.064-2</t>
  </si>
  <si>
    <t>REVISION</t>
  </si>
  <si>
    <t>SANTIAGO - CHILE</t>
  </si>
  <si>
    <t>ISSUE DATE:</t>
  </si>
  <si>
    <t>SOLD TO:</t>
  </si>
  <si>
    <t>PICK UP ADDRESS:</t>
  </si>
  <si>
    <t>TECHINT CHILE SA</t>
  </si>
  <si>
    <t>CERRO EL PLOMO 5420 PISO 16, LAS</t>
  </si>
  <si>
    <t xml:space="preserve">CONDES, SANTIAGO - CHILE </t>
  </si>
  <si>
    <t xml:space="preserve">DELIVERY CONDITION: </t>
  </si>
  <si>
    <t>DESCRIPTION</t>
  </si>
  <si>
    <t>by PROYESCO</t>
  </si>
  <si>
    <t>INSPECTION LOT: [ON HOLD]</t>
  </si>
  <si>
    <t>MATERIAL:4222-7313-TCM-3001</t>
  </si>
  <si>
    <t>MATERIAL:4222-7314-TCM-4001</t>
  </si>
  <si>
    <t>OWNER (END USER)</t>
  </si>
  <si>
    <t>CORPORACION NACIONAL DEL COBRE DE CHILE</t>
  </si>
  <si>
    <t>HUERFANOS 1270</t>
  </si>
  <si>
    <t>RUT 91426000-0</t>
  </si>
  <si>
    <t>RUT 1704000-K</t>
  </si>
  <si>
    <t>Proyesco Chile SpA</t>
  </si>
  <si>
    <t>Cruz del Sur 133 Of 401 Las Condes</t>
  </si>
  <si>
    <t>LENGTH
(mts)</t>
  </si>
  <si>
    <t>WIDTH
(mts)</t>
  </si>
  <si>
    <t>HEIGHT
(mts)</t>
  </si>
  <si>
    <t>VOLUME
(m3)</t>
  </si>
  <si>
    <t>NET W
(Kg)</t>
  </si>
  <si>
    <t>TOTAL W
(Kg)</t>
  </si>
  <si>
    <t>marianela.itala@proyesco.com</t>
  </si>
  <si>
    <t>Marianela Itala</t>
  </si>
  <si>
    <t>Logistic Leader</t>
  </si>
  <si>
    <t>M +54 9 11 5099-0200</t>
  </si>
  <si>
    <t>TOTAL</t>
  </si>
  <si>
    <t>STATION: 7313 (SE3)</t>
  </si>
  <si>
    <t>STATION: 7314 (EB4)</t>
  </si>
  <si>
    <t>ITEM</t>
  </si>
  <si>
    <t>COMMUNICATION RACKS - WALL MOUNTED</t>
  </si>
  <si>
    <t>(7550000) Santiago - Chile</t>
  </si>
  <si>
    <t>PURCHASE ORDER:</t>
  </si>
  <si>
    <t>COMMENTS:</t>
  </si>
  <si>
    <t>C1012-01-PL</t>
  </si>
  <si>
    <t>Ex WORKS</t>
  </si>
  <si>
    <t>4500455766 rev 1</t>
  </si>
  <si>
    <t>PO ITEMS: 720, 250 to 280, 660 to 710</t>
  </si>
  <si>
    <t>PO ITEMS: 790, 290 to 320, 730 to 780</t>
  </si>
  <si>
    <t>SERVICIOS DE FABRICACIÓN ARTEM SPA</t>
  </si>
  <si>
    <t>RUT: 76.622.486-5</t>
  </si>
  <si>
    <t>SERRANO 1088, (9050052) PUDAHUEL</t>
  </si>
  <si>
    <t>REGIÓN METROPOLITANA, 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</si>
</sst>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Bulto: &quot;00"/>
    <numFmt numFmtId="165" formatCode="#,##0.0"/>
  </numFmts>
  <fonts count="18">
    <font>
      <sz val="10"/>
      <color theme="1"/>
      <name val="Arial"/>
      <charset val="134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u/>
      <sz val="16"/>
      <color rgb="FF016A66"/>
      <name val="Arial"/>
      <family val="2"/>
    </font>
    <font>
      <b/>
      <u/>
      <sz val="9"/>
      <color rgb="FF016A66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  <font>
      <b/>
      <u/>
      <sz val="9"/>
      <color theme="10"/>
      <name val="Arial"/>
      <family val="2"/>
    </font>
    <font>
      <b/>
      <sz val="8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16A66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1" fillId="0" borderId="0"/>
    <xf numFmtId="0" fontId="13" fillId="0" borderId="0" applyNumberFormat="0" applyFill="0" applyBorder="0" applyAlignment="0" applyProtection="0"/>
  </cellStyleXfs>
  <cellXfs count="117">
    <xf numFmtId="0" fontId="0" fillId="0" borderId="0" xfId="0"/>
    <xf numFmtId="0" fontId="1" fillId="0" borderId="0" xfId="3"/>
    <xf numFmtId="0" fontId="2" fillId="0" borderId="0" xfId="3" applyFont="1" applyAlignment="1">
      <alignment vertical="center"/>
    </xf>
    <xf numFmtId="0" fontId="2" fillId="0" borderId="0" xfId="3" applyFont="1" applyAlignment="1">
      <alignment horizontal="left" vertical="center"/>
    </xf>
    <xf numFmtId="0" fontId="1" fillId="0" borderId="0" xfId="3" applyAlignment="1">
      <alignment vertical="center"/>
    </xf>
    <xf numFmtId="0" fontId="3" fillId="0" borderId="0" xfId="3" applyFont="1"/>
    <xf numFmtId="0" fontId="3" fillId="0" borderId="0" xfId="3" applyFont="1" applyAlignment="1">
      <alignment vertical="center"/>
    </xf>
    <xf numFmtId="0" fontId="3" fillId="0" borderId="1" xfId="3" applyFont="1" applyBorder="1" applyAlignment="1">
      <alignment vertical="center"/>
    </xf>
    <xf numFmtId="0" fontId="3" fillId="0" borderId="2" xfId="3" applyFont="1" applyBorder="1" applyAlignment="1">
      <alignment vertical="center"/>
    </xf>
    <xf numFmtId="0" fontId="3" fillId="0" borderId="3" xfId="3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3" applyFont="1" applyBorder="1" applyAlignment="1">
      <alignment vertical="center"/>
    </xf>
    <xf numFmtId="0" fontId="3" fillId="0" borderId="5" xfId="3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2" xfId="3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5" fillId="0" borderId="0" xfId="3" applyFont="1" applyAlignment="1">
      <alignment vertical="center"/>
    </xf>
    <xf numFmtId="0" fontId="6" fillId="0" borderId="0" xfId="3" applyFont="1" applyAlignment="1">
      <alignment horizontal="justify" vertical="center"/>
    </xf>
    <xf numFmtId="0" fontId="2" fillId="0" borderId="0" xfId="3" applyFont="1" applyAlignment="1">
      <alignment horizontal="justify" vertical="center" wrapText="1"/>
    </xf>
    <xf numFmtId="0" fontId="2" fillId="0" borderId="5" xfId="3" applyFont="1" applyBorder="1" applyAlignment="1">
      <alignment vertical="center"/>
    </xf>
    <xf numFmtId="0" fontId="4" fillId="0" borderId="0" xfId="3" applyFont="1" applyAlignment="1">
      <alignment horizontal="left" vertical="center"/>
    </xf>
    <xf numFmtId="0" fontId="8" fillId="0" borderId="2" xfId="3" applyFont="1" applyBorder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2" fillId="0" borderId="2" xfId="3" applyFont="1" applyBorder="1" applyAlignment="1">
      <alignment horizontal="center" vertical="center"/>
    </xf>
    <xf numFmtId="0" fontId="5" fillId="0" borderId="0" xfId="3" applyFont="1" applyAlignment="1">
      <alignment horizontal="left" vertical="center"/>
    </xf>
    <xf numFmtId="4" fontId="10" fillId="0" borderId="0" xfId="3" applyNumberFormat="1" applyFont="1" applyAlignment="1">
      <alignment horizontal="center" vertical="center"/>
    </xf>
    <xf numFmtId="4" fontId="9" fillId="0" borderId="0" xfId="3" applyNumberFormat="1" applyFont="1" applyAlignment="1">
      <alignment horizontal="center" vertical="center"/>
    </xf>
    <xf numFmtId="165" fontId="9" fillId="0" borderId="0" xfId="3" applyNumberFormat="1" applyFont="1" applyAlignment="1">
      <alignment horizontal="center" vertical="center"/>
    </xf>
    <xf numFmtId="0" fontId="2" fillId="0" borderId="26" xfId="3" applyFont="1" applyBorder="1" applyAlignment="1">
      <alignment vertical="center"/>
    </xf>
    <xf numFmtId="0" fontId="2" fillId="0" borderId="30" xfId="3" applyFont="1" applyBorder="1" applyAlignment="1">
      <alignment vertical="center"/>
    </xf>
    <xf numFmtId="0" fontId="2" fillId="0" borderId="31" xfId="3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1" xfId="3" applyFont="1" applyBorder="1" applyAlignment="1">
      <alignment vertical="center"/>
    </xf>
    <xf numFmtId="0" fontId="2" fillId="0" borderId="3" xfId="3" applyFont="1" applyBorder="1" applyAlignment="1">
      <alignment vertical="center"/>
    </xf>
    <xf numFmtId="0" fontId="5" fillId="0" borderId="3" xfId="3" applyFont="1" applyBorder="1" applyAlignment="1">
      <alignment vertical="center"/>
    </xf>
    <xf numFmtId="0" fontId="2" fillId="0" borderId="3" xfId="3" applyFont="1" applyBorder="1" applyAlignment="1">
      <alignment horizontal="left" vertical="center"/>
    </xf>
    <xf numFmtId="0" fontId="2" fillId="0" borderId="4" xfId="3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0" fontId="10" fillId="0" borderId="7" xfId="3" applyFont="1" applyBorder="1" applyAlignment="1">
      <alignment horizontal="left" vertical="center"/>
    </xf>
    <xf numFmtId="0" fontId="10" fillId="0" borderId="8" xfId="3" applyFont="1" applyBorder="1" applyAlignment="1">
      <alignment horizontal="left" vertical="center"/>
    </xf>
    <xf numFmtId="0" fontId="10" fillId="0" borderId="17" xfId="3" applyFont="1" applyBorder="1" applyAlignment="1">
      <alignment horizontal="center" vertical="center" wrapText="1"/>
    </xf>
    <xf numFmtId="0" fontId="10" fillId="0" borderId="32" xfId="3" applyFont="1" applyBorder="1" applyAlignment="1">
      <alignment horizontal="center" vertical="center" wrapText="1"/>
    </xf>
    <xf numFmtId="0" fontId="9" fillId="0" borderId="11" xfId="3" applyFont="1" applyBorder="1" applyAlignment="1">
      <alignment horizontal="center" vertical="center"/>
    </xf>
    <xf numFmtId="0" fontId="9" fillId="0" borderId="12" xfId="3" applyFont="1" applyBorder="1" applyAlignment="1">
      <alignment horizontal="center" vertical="center"/>
    </xf>
    <xf numFmtId="0" fontId="12" fillId="0" borderId="0" xfId="3" applyFont="1" applyAlignment="1">
      <alignment horizontal="left" vertical="center"/>
    </xf>
    <xf numFmtId="0" fontId="9" fillId="0" borderId="37" xfId="3" applyFont="1" applyBorder="1" applyAlignment="1">
      <alignment horizontal="center" vertical="center"/>
    </xf>
    <xf numFmtId="0" fontId="9" fillId="0" borderId="38" xfId="3" applyFont="1" applyBorder="1" applyAlignment="1">
      <alignment horizontal="center" vertical="center"/>
    </xf>
    <xf numFmtId="0" fontId="11" fillId="0" borderId="15" xfId="3" applyFont="1" applyBorder="1" applyAlignment="1">
      <alignment horizontal="left" vertical="center"/>
    </xf>
    <xf numFmtId="0" fontId="9" fillId="0" borderId="39" xfId="3" applyFont="1" applyBorder="1" applyAlignment="1">
      <alignment horizontal="center" vertical="center"/>
    </xf>
    <xf numFmtId="0" fontId="11" fillId="0" borderId="16" xfId="3" applyFont="1" applyBorder="1" applyAlignment="1">
      <alignment horizontal="left" vertical="center"/>
    </xf>
    <xf numFmtId="0" fontId="12" fillId="0" borderId="5" xfId="3" applyFont="1" applyBorder="1" applyAlignment="1">
      <alignment horizontal="left" vertical="center"/>
    </xf>
    <xf numFmtId="0" fontId="9" fillId="0" borderId="5" xfId="3" applyFont="1" applyBorder="1" applyAlignment="1">
      <alignment horizontal="left" vertical="center"/>
    </xf>
    <xf numFmtId="0" fontId="9" fillId="0" borderId="25" xfId="3" applyFont="1" applyBorder="1" applyAlignment="1">
      <alignment horizontal="center" vertical="center"/>
    </xf>
    <xf numFmtId="0" fontId="9" fillId="0" borderId="34" xfId="3" applyFont="1" applyBorder="1" applyAlignment="1">
      <alignment horizontal="center" vertical="center"/>
    </xf>
    <xf numFmtId="0" fontId="9" fillId="0" borderId="4" xfId="3" applyFont="1" applyBorder="1" applyAlignment="1">
      <alignment horizontal="center" vertical="center"/>
    </xf>
    <xf numFmtId="0" fontId="10" fillId="0" borderId="5" xfId="3" applyFont="1" applyBorder="1" applyAlignment="1">
      <alignment horizontal="left" vertical="center"/>
    </xf>
    <xf numFmtId="0" fontId="9" fillId="0" borderId="5" xfId="3" applyFont="1" applyBorder="1" applyAlignment="1">
      <alignment horizontal="center" vertical="center"/>
    </xf>
    <xf numFmtId="0" fontId="9" fillId="0" borderId="40" xfId="3" applyFont="1" applyBorder="1" applyAlignment="1">
      <alignment horizontal="left" vertical="center"/>
    </xf>
    <xf numFmtId="0" fontId="6" fillId="0" borderId="40" xfId="3" applyFont="1" applyBorder="1" applyAlignment="1">
      <alignment horizontal="left" vertical="center"/>
    </xf>
    <xf numFmtId="2" fontId="6" fillId="0" borderId="37" xfId="3" applyNumberFormat="1" applyFont="1" applyBorder="1" applyAlignment="1">
      <alignment horizontal="center" vertical="center"/>
    </xf>
    <xf numFmtId="0" fontId="6" fillId="0" borderId="37" xfId="3" applyFont="1" applyBorder="1" applyAlignment="1">
      <alignment horizontal="center" vertical="center"/>
    </xf>
    <xf numFmtId="0" fontId="6" fillId="0" borderId="38" xfId="3" applyFont="1" applyBorder="1" applyAlignment="1">
      <alignment horizontal="center" vertical="center"/>
    </xf>
    <xf numFmtId="164" fontId="9" fillId="0" borderId="15" xfId="3" applyNumberFormat="1" applyFont="1" applyBorder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6" fillId="0" borderId="41" xfId="3" applyFont="1" applyBorder="1" applyAlignment="1">
      <alignment horizontal="left" vertical="center"/>
    </xf>
    <xf numFmtId="2" fontId="6" fillId="0" borderId="42" xfId="3" applyNumberFormat="1" applyFont="1" applyBorder="1" applyAlignment="1">
      <alignment horizontal="center" vertical="center"/>
    </xf>
    <xf numFmtId="0" fontId="6" fillId="0" borderId="42" xfId="3" applyFont="1" applyBorder="1" applyAlignment="1">
      <alignment horizontal="center" vertical="center"/>
    </xf>
    <xf numFmtId="0" fontId="6" fillId="0" borderId="43" xfId="3" applyFont="1" applyBorder="1" applyAlignment="1">
      <alignment horizontal="center" vertical="center"/>
    </xf>
    <xf numFmtId="4" fontId="2" fillId="0" borderId="0" xfId="3" applyNumberFormat="1" applyFont="1" applyAlignment="1">
      <alignment vertical="center"/>
    </xf>
    <xf numFmtId="4" fontId="2" fillId="0" borderId="30" xfId="3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4" fontId="2" fillId="0" borderId="5" xfId="3" applyNumberFormat="1" applyFont="1" applyBorder="1" applyAlignment="1">
      <alignment vertical="center"/>
    </xf>
    <xf numFmtId="4" fontId="2" fillId="0" borderId="31" xfId="3" applyNumberFormat="1" applyFont="1" applyBorder="1" applyAlignment="1">
      <alignment vertical="center"/>
    </xf>
    <xf numFmtId="0" fontId="5" fillId="0" borderId="0" xfId="0" applyFont="1" applyAlignment="1">
      <alignment horizontal="left" vertical="center" indent="1"/>
    </xf>
    <xf numFmtId="0" fontId="14" fillId="0" borderId="0" xfId="4" applyFont="1" applyAlignment="1">
      <alignment horizontal="left" vertical="center" indent="1"/>
    </xf>
    <xf numFmtId="0" fontId="5" fillId="0" borderId="0" xfId="0" quotePrefix="1" applyFont="1" applyAlignment="1">
      <alignment horizontal="left" vertical="center" indent="1"/>
    </xf>
    <xf numFmtId="14" fontId="15" fillId="2" borderId="29" xfId="3" applyNumberFormat="1" applyFont="1" applyFill="1" applyBorder="1" applyAlignment="1">
      <alignment horizontal="center" vertical="center"/>
    </xf>
    <xf numFmtId="0" fontId="4" fillId="0" borderId="9" xfId="3" applyFont="1" applyBorder="1" applyAlignment="1">
      <alignment horizontal="left" vertical="center"/>
    </xf>
    <xf numFmtId="0" fontId="16" fillId="0" borderId="19" xfId="3" applyFont="1" applyBorder="1" applyAlignment="1">
      <alignment vertical="center"/>
    </xf>
    <xf numFmtId="0" fontId="4" fillId="0" borderId="28" xfId="3" applyFont="1" applyBorder="1" applyAlignment="1">
      <alignment horizontal="center" vertical="center"/>
    </xf>
    <xf numFmtId="0" fontId="4" fillId="0" borderId="13" xfId="3" applyFont="1" applyBorder="1" applyAlignment="1">
      <alignment horizontal="left" vertical="center"/>
    </xf>
    <xf numFmtId="0" fontId="16" fillId="0" borderId="20" xfId="3" applyFont="1" applyBorder="1" applyAlignment="1">
      <alignment vertical="center"/>
    </xf>
    <xf numFmtId="0" fontId="2" fillId="0" borderId="0" xfId="3" applyFont="1" applyAlignment="1">
      <alignment horizontal="right" vertical="center"/>
    </xf>
    <xf numFmtId="0" fontId="2" fillId="0" borderId="40" xfId="3" applyFont="1" applyBorder="1" applyAlignment="1">
      <alignment vertical="center"/>
    </xf>
    <xf numFmtId="0" fontId="2" fillId="0" borderId="9" xfId="3" applyFont="1" applyBorder="1" applyAlignment="1">
      <alignment vertical="center"/>
    </xf>
    <xf numFmtId="0" fontId="2" fillId="0" borderId="9" xfId="3" applyFont="1" applyBorder="1" applyAlignment="1">
      <alignment horizontal="justify" vertical="center" wrapText="1"/>
    </xf>
    <xf numFmtId="0" fontId="10" fillId="0" borderId="10" xfId="3" applyFont="1" applyBorder="1" applyAlignment="1">
      <alignment horizontal="center" vertical="center"/>
    </xf>
    <xf numFmtId="164" fontId="10" fillId="0" borderId="35" xfId="3" applyNumberFormat="1" applyFont="1" applyBorder="1" applyAlignment="1">
      <alignment horizontal="left" vertical="center"/>
    </xf>
    <xf numFmtId="0" fontId="10" fillId="0" borderId="36" xfId="3" applyFont="1" applyBorder="1" applyAlignment="1">
      <alignment horizontal="left" vertical="center"/>
    </xf>
    <xf numFmtId="0" fontId="11" fillId="0" borderId="36" xfId="3" applyFont="1" applyBorder="1" applyAlignment="1">
      <alignment horizontal="left" vertical="center"/>
    </xf>
    <xf numFmtId="2" fontId="11" fillId="0" borderId="18" xfId="3" applyNumberFormat="1" applyFont="1" applyBorder="1" applyAlignment="1">
      <alignment horizontal="center" vertical="center"/>
    </xf>
    <xf numFmtId="0" fontId="11" fillId="0" borderId="18" xfId="3" applyFont="1" applyBorder="1" applyAlignment="1">
      <alignment horizontal="center" vertical="center"/>
    </xf>
    <xf numFmtId="0" fontId="11" fillId="0" borderId="33" xfId="3" applyFont="1" applyBorder="1" applyAlignment="1">
      <alignment horizontal="center" vertical="center"/>
    </xf>
    <xf numFmtId="0" fontId="5" fillId="0" borderId="0" xfId="3" applyFont="1" applyAlignment="1">
      <alignment horizontal="right" vertical="center"/>
    </xf>
    <xf numFmtId="4" fontId="10" fillId="0" borderId="25" xfId="3" applyNumberFormat="1" applyFont="1" applyBorder="1" applyAlignment="1">
      <alignment horizontal="center" vertical="center"/>
    </xf>
    <xf numFmtId="165" fontId="10" fillId="0" borderId="25" xfId="3" applyNumberFormat="1" applyFont="1" applyBorder="1" applyAlignment="1">
      <alignment horizontal="center" vertical="center"/>
    </xf>
    <xf numFmtId="165" fontId="10" fillId="0" borderId="34" xfId="3" applyNumberFormat="1" applyFont="1" applyBorder="1" applyAlignment="1">
      <alignment horizontal="center" vertical="center"/>
    </xf>
    <xf numFmtId="0" fontId="5" fillId="0" borderId="40" xfId="3" applyFont="1" applyBorder="1" applyAlignment="1">
      <alignment vertical="center"/>
    </xf>
    <xf numFmtId="0" fontId="15" fillId="2" borderId="21" xfId="3" applyFont="1" applyFill="1" applyBorder="1" applyAlignment="1">
      <alignment horizontal="center" vertical="center" wrapText="1"/>
    </xf>
    <xf numFmtId="0" fontId="15" fillId="2" borderId="22" xfId="3" applyFont="1" applyFill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/>
    </xf>
    <xf numFmtId="0" fontId="17" fillId="0" borderId="23" xfId="3" applyFont="1" applyBorder="1" applyAlignment="1">
      <alignment horizontal="center" vertical="center"/>
    </xf>
    <xf numFmtId="0" fontId="17" fillId="0" borderId="27" xfId="3" applyFont="1" applyBorder="1" applyAlignment="1">
      <alignment horizontal="center" vertical="center"/>
    </xf>
    <xf numFmtId="0" fontId="7" fillId="0" borderId="14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0" fontId="7" fillId="0" borderId="21" xfId="3" applyFont="1" applyBorder="1" applyAlignment="1">
      <alignment horizontal="center" vertical="center"/>
    </xf>
    <xf numFmtId="0" fontId="7" fillId="0" borderId="15" xfId="3" applyFont="1" applyBorder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7" fillId="0" borderId="22" xfId="3" applyFont="1" applyBorder="1" applyAlignment="1">
      <alignment horizontal="center" vertical="center"/>
    </xf>
    <xf numFmtId="0" fontId="7" fillId="0" borderId="16" xfId="3" applyFont="1" applyBorder="1" applyAlignment="1">
      <alignment horizontal="center" vertical="center"/>
    </xf>
    <xf numFmtId="0" fontId="7" fillId="0" borderId="5" xfId="3" applyFont="1" applyBorder="1" applyAlignment="1">
      <alignment horizontal="center" vertical="center"/>
    </xf>
    <xf numFmtId="0" fontId="7" fillId="0" borderId="24" xfId="3" applyFont="1" applyBorder="1" applyAlignment="1">
      <alignment horizontal="center" vertical="center"/>
    </xf>
  </cellXfs>
  <cellStyles count="5">
    <cellStyle name="Hipervínculo" xfId="4" builtinId="8"/>
    <cellStyle name="Normal" xfId="0" builtinId="0"/>
    <cellStyle name="Normal 2" xfId="1" xr:uid="{00000000-0005-0000-0000-00001D000000}"/>
    <cellStyle name="Normal 3" xfId="3" xr:uid="{00000000-0005-0000-0000-000027000000}"/>
    <cellStyle name="Normal 3 2" xfId="2" xr:uid="{00000000-0005-0000-0000-000022000000}"/>
  </cellStyles>
  <dxfs count="5"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</dxfs>
  <tableStyles count="0" defaultTableStyle="TableStyleMedium2" defaultPivotStyle="PivotStyleLight16"/>
  <colors>
    <mruColors>
      <color rgb="FF3054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41409</xdr:colOff>
      <xdr:row>1</xdr:row>
      <xdr:rowOff>41415</xdr:rowOff>
    </xdr:from>
    <xdr:to>
      <xdr:col>2</xdr:col>
      <xdr:colOff>358373</xdr:colOff>
      <xdr:row>4</xdr:row>
      <xdr:rowOff>149088</xdr:rowOff>
    </xdr:to>
    <xdr:pic>
      <xdr:nvPicPr>
        <xdr:cNvPr id="2" name="Imagen 6" descr="Imagen que contiene señal, cielo&#10;&#10;Descripción generada con confianza alt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41" t="7895" r="10075" b="7895"/>
        <a:stretch>
          <a:fillRect/>
        </a:stretch>
      </xdr:blipFill>
      <xdr:spPr>
        <a:xfrm>
          <a:off x="264795" y="231775"/>
          <a:ext cx="714375" cy="7150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anela.itala@proyes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E52"/>
  <sheetViews>
    <sheetView topLeftCell="A45" workbookViewId="0">
      <selection activeCell="E48" sqref="E48"/>
    </sheetView>
  </sheetViews>
  <sheetFormatPr baseColWidth="10" defaultColWidth="9" defaultRowHeight="13.2"/>
  <cols>
    <col min="3" max="3" width="9.109375" style="31"/>
    <col min="4" max="4" width="21" customWidth="1"/>
    <col min="5" max="5" width="50.109375" customWidth="1"/>
  </cols>
  <sheetData>
    <row r="4" spans="3:5">
      <c r="C4" s="31">
        <v>10</v>
      </c>
      <c r="D4" t="s">
        <v>0</v>
      </c>
      <c r="E4" t="s">
        <v>1</v>
      </c>
    </row>
    <row r="9" spans="3:5">
      <c r="C9" s="31" t="s">
        <v>2</v>
      </c>
      <c r="D9" t="s">
        <v>3</v>
      </c>
      <c r="E9" t="s">
        <v>4</v>
      </c>
    </row>
    <row r="14" spans="3:5">
      <c r="C14" s="31" t="s">
        <v>5</v>
      </c>
      <c r="D14" t="s">
        <v>6</v>
      </c>
      <c r="E14" t="s">
        <v>7</v>
      </c>
    </row>
    <row r="19" spans="3:5">
      <c r="C19" s="31" t="s">
        <v>8</v>
      </c>
      <c r="D19" t="s">
        <v>9</v>
      </c>
      <c r="E19" t="s">
        <v>10</v>
      </c>
    </row>
    <row r="24" spans="3:5">
      <c r="C24" s="31" t="s">
        <v>11</v>
      </c>
      <c r="D24" t="s">
        <v>12</v>
      </c>
      <c r="E24" t="s">
        <v>13</v>
      </c>
    </row>
    <row r="28" spans="3:5">
      <c r="C28" s="31" t="s">
        <v>14</v>
      </c>
      <c r="D28" t="s">
        <v>15</v>
      </c>
      <c r="E28" t="s">
        <v>16</v>
      </c>
    </row>
    <row r="33" spans="3:5">
      <c r="C33" s="31" t="s">
        <v>17</v>
      </c>
      <c r="D33" t="s">
        <v>18</v>
      </c>
      <c r="E33" t="s">
        <v>19</v>
      </c>
    </row>
    <row r="38" spans="3:5">
      <c r="C38" s="31" t="s">
        <v>20</v>
      </c>
      <c r="D38" t="s">
        <v>21</v>
      </c>
      <c r="E38" t="s">
        <v>22</v>
      </c>
    </row>
    <row r="43" spans="3:5">
      <c r="C43" s="31" t="s">
        <v>23</v>
      </c>
      <c r="D43" t="s">
        <v>24</v>
      </c>
      <c r="E43" t="s">
        <v>25</v>
      </c>
    </row>
    <row r="48" spans="3:5">
      <c r="C48" s="31" t="s">
        <v>26</v>
      </c>
      <c r="D48" t="s">
        <v>27</v>
      </c>
      <c r="E48" t="s">
        <v>28</v>
      </c>
    </row>
    <row r="52" spans="3:5">
      <c r="C52" s="31">
        <v>110</v>
      </c>
      <c r="D52" t="s">
        <v>29</v>
      </c>
      <c r="E5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8"/>
  <sheetViews>
    <sheetView showGridLines="0" tabSelected="1" view="pageBreakPreview" topLeftCell="A3" zoomScale="145" zoomScaleNormal="100" zoomScaleSheetLayoutView="145" workbookViewId="0">
      <selection activeCell="C13" sqref="C13"/>
    </sheetView>
  </sheetViews>
  <sheetFormatPr baseColWidth="10" defaultColWidth="9.109375" defaultRowHeight="14.4"/>
  <cols>
    <col min="1" max="1" width="3.109375" style="5" customWidth="1"/>
    <col min="2" max="2" width="5.6640625" style="5" customWidth="1"/>
    <col min="3" max="3" width="8.33203125" style="5" customWidth="1"/>
    <col min="4" max="4" width="11" style="5" customWidth="1"/>
    <col min="5" max="5" width="18.5546875" style="5" customWidth="1"/>
    <col min="6" max="11" width="8.6640625" style="5" customWidth="1"/>
    <col min="12" max="12" width="3.109375" style="5" customWidth="1"/>
    <col min="13" max="13" width="9.109375" style="5"/>
    <col min="14" max="16384" width="9.109375" style="1"/>
  </cols>
  <sheetData>
    <row r="1" spans="1:13" ht="15" customHeight="1" thickBo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3" s="4" customFormat="1" ht="15.9" customHeight="1">
      <c r="A2" s="6"/>
      <c r="B2" s="7"/>
      <c r="C2" s="8"/>
      <c r="D2" s="40" t="s">
        <v>53</v>
      </c>
      <c r="E2" s="8"/>
      <c r="F2" s="108" t="s">
        <v>31</v>
      </c>
      <c r="G2" s="109"/>
      <c r="H2" s="110"/>
      <c r="I2" s="102" t="s">
        <v>32</v>
      </c>
      <c r="J2" s="104" t="s">
        <v>73</v>
      </c>
      <c r="K2" s="105"/>
      <c r="L2" s="6"/>
      <c r="M2" s="6"/>
    </row>
    <row r="3" spans="1:13" s="4" customFormat="1" ht="15.9" customHeight="1">
      <c r="A3" s="6"/>
      <c r="B3" s="9"/>
      <c r="C3" s="6"/>
      <c r="D3" s="10" t="s">
        <v>33</v>
      </c>
      <c r="E3" s="6"/>
      <c r="F3" s="111"/>
      <c r="G3" s="112"/>
      <c r="H3" s="113"/>
      <c r="I3" s="103"/>
      <c r="J3" s="106"/>
      <c r="K3" s="107"/>
      <c r="L3" s="6"/>
      <c r="M3" s="6"/>
    </row>
    <row r="4" spans="1:13" s="4" customFormat="1" ht="15.9" customHeight="1">
      <c r="A4" s="6"/>
      <c r="B4" s="9"/>
      <c r="C4" s="6"/>
      <c r="D4" s="10" t="s">
        <v>54</v>
      </c>
      <c r="E4" s="6"/>
      <c r="F4" s="111"/>
      <c r="G4" s="112"/>
      <c r="H4" s="113"/>
      <c r="I4" s="81" t="s">
        <v>34</v>
      </c>
      <c r="J4" s="82"/>
      <c r="K4" s="83">
        <v>1</v>
      </c>
      <c r="L4" s="6"/>
      <c r="M4" s="6"/>
    </row>
    <row r="5" spans="1:13" s="4" customFormat="1" ht="15.9" customHeight="1" thickBot="1">
      <c r="A5" s="6"/>
      <c r="B5" s="11"/>
      <c r="C5" s="12"/>
      <c r="D5" s="13" t="s">
        <v>70</v>
      </c>
      <c r="E5" s="12"/>
      <c r="F5" s="114"/>
      <c r="G5" s="115"/>
      <c r="H5" s="116"/>
      <c r="I5" s="84" t="s">
        <v>36</v>
      </c>
      <c r="J5" s="85"/>
      <c r="K5" s="80">
        <v>45511</v>
      </c>
      <c r="L5" s="6"/>
      <c r="M5" s="6"/>
    </row>
    <row r="6" spans="1:13" s="4" customFormat="1" ht="15.9" customHeight="1">
      <c r="A6" s="6"/>
      <c r="B6" s="35"/>
      <c r="C6" s="14"/>
      <c r="D6" s="15"/>
      <c r="E6" s="14"/>
      <c r="F6" s="21"/>
      <c r="G6" s="21"/>
      <c r="H6" s="21"/>
      <c r="I6" s="23"/>
      <c r="J6" s="14"/>
      <c r="K6" s="28"/>
      <c r="L6" s="6"/>
      <c r="M6" s="6"/>
    </row>
    <row r="7" spans="1:13" s="4" customFormat="1" ht="15.9" customHeight="1">
      <c r="A7" s="6"/>
      <c r="B7" s="36"/>
      <c r="C7" s="16" t="s">
        <v>71</v>
      </c>
      <c r="D7" s="32"/>
      <c r="E7" s="97" t="s">
        <v>75</v>
      </c>
      <c r="F7" s="33"/>
      <c r="G7" s="16" t="s">
        <v>37</v>
      </c>
      <c r="H7" s="33"/>
      <c r="I7" s="34"/>
      <c r="J7" s="2"/>
      <c r="K7" s="29"/>
      <c r="L7" s="6"/>
      <c r="M7" s="6"/>
    </row>
    <row r="8" spans="1:13" s="4" customFormat="1" ht="15.9" customHeight="1">
      <c r="A8" s="6"/>
      <c r="B8" s="36"/>
      <c r="C8" s="16" t="s">
        <v>42</v>
      </c>
      <c r="D8" s="2"/>
      <c r="E8" s="86" t="s">
        <v>74</v>
      </c>
      <c r="F8" s="33"/>
      <c r="G8" s="2" t="s">
        <v>39</v>
      </c>
      <c r="H8" s="33"/>
      <c r="I8" s="34"/>
      <c r="J8" s="2"/>
      <c r="K8" s="29"/>
      <c r="L8" s="6"/>
      <c r="M8" s="6"/>
    </row>
    <row r="9" spans="1:13" s="4" customFormat="1" ht="15.9" customHeight="1">
      <c r="A9" s="6"/>
      <c r="B9" s="36"/>
      <c r="C9" s="24" t="s">
        <v>38</v>
      </c>
      <c r="D9" s="2"/>
      <c r="E9" s="2"/>
      <c r="F9" s="33"/>
      <c r="G9" s="2" t="s">
        <v>51</v>
      </c>
      <c r="H9" s="33"/>
      <c r="I9" s="34"/>
      <c r="J9" s="2"/>
      <c r="K9" s="29"/>
      <c r="L9" s="6"/>
      <c r="M9" s="6"/>
    </row>
    <row r="10" spans="1:13" s="4" customFormat="1" ht="15.9" customHeight="1">
      <c r="A10" s="6"/>
      <c r="B10" s="36"/>
      <c r="C10" s="3" t="s">
        <v>78</v>
      </c>
      <c r="D10" s="2"/>
      <c r="E10" s="2"/>
      <c r="F10" s="33"/>
      <c r="G10" s="2" t="s">
        <v>40</v>
      </c>
      <c r="H10" s="33"/>
      <c r="I10" s="34"/>
      <c r="J10" s="2"/>
      <c r="K10" s="29"/>
      <c r="L10" s="6"/>
      <c r="M10" s="6"/>
    </row>
    <row r="11" spans="1:13" s="4" customFormat="1" ht="15.9" customHeight="1">
      <c r="A11" s="6"/>
      <c r="B11" s="36"/>
      <c r="C11" s="3" t="s">
        <v>79</v>
      </c>
      <c r="D11" s="2"/>
      <c r="E11" s="2"/>
      <c r="F11" s="33"/>
      <c r="G11" s="2" t="s">
        <v>41</v>
      </c>
      <c r="H11" s="33"/>
      <c r="I11" s="34"/>
      <c r="J11" s="2"/>
      <c r="K11" s="29"/>
      <c r="L11" s="6"/>
      <c r="M11" s="6"/>
    </row>
    <row r="12" spans="1:13" s="4" customFormat="1" ht="15.9" customHeight="1">
      <c r="A12" s="6"/>
      <c r="B12" s="36"/>
      <c r="C12" s="22" t="s">
        <v>80</v>
      </c>
      <c r="D12" s="2"/>
      <c r="E12" s="2"/>
      <c r="F12" s="33"/>
      <c r="G12" s="2"/>
      <c r="H12" s="33"/>
      <c r="I12" s="34"/>
      <c r="J12" s="2"/>
      <c r="K12" s="29"/>
      <c r="L12" s="6"/>
      <c r="M12" s="6"/>
    </row>
    <row r="13" spans="1:13" s="4" customFormat="1" ht="15.9" customHeight="1">
      <c r="A13" s="6"/>
      <c r="B13" s="36"/>
      <c r="C13" s="2" t="s">
        <v>81</v>
      </c>
      <c r="D13" s="17"/>
      <c r="E13" s="2"/>
      <c r="F13" s="2"/>
      <c r="G13" s="16" t="s">
        <v>48</v>
      </c>
      <c r="H13" s="2"/>
      <c r="I13" s="25"/>
      <c r="J13" s="25"/>
      <c r="K13" s="29"/>
      <c r="L13" s="6"/>
      <c r="M13" s="6"/>
    </row>
    <row r="14" spans="1:13" s="4" customFormat="1" ht="15.9" customHeight="1">
      <c r="A14" s="6"/>
      <c r="B14" s="37"/>
      <c r="C14" s="16"/>
      <c r="D14" s="18"/>
      <c r="E14" s="2"/>
      <c r="F14" s="2"/>
      <c r="G14" s="2" t="s">
        <v>49</v>
      </c>
      <c r="H14" s="2"/>
      <c r="I14" s="2"/>
      <c r="J14" s="2"/>
      <c r="K14" s="29"/>
      <c r="L14" s="6"/>
      <c r="M14" s="6"/>
    </row>
    <row r="15" spans="1:13" s="4" customFormat="1" ht="15.9" customHeight="1">
      <c r="A15" s="6"/>
      <c r="B15" s="38"/>
      <c r="C15" s="101" t="s">
        <v>72</v>
      </c>
      <c r="D15" s="87"/>
      <c r="E15" s="87"/>
      <c r="F15" s="2"/>
      <c r="G15" s="2" t="s">
        <v>52</v>
      </c>
      <c r="H15" s="2"/>
      <c r="I15" s="26"/>
      <c r="J15" s="27"/>
      <c r="K15" s="29"/>
      <c r="L15" s="6"/>
      <c r="M15" s="6"/>
    </row>
    <row r="16" spans="1:13" s="4" customFormat="1" ht="15.9" customHeight="1">
      <c r="A16" s="6"/>
      <c r="B16" s="38"/>
      <c r="C16" s="88"/>
      <c r="D16" s="89"/>
      <c r="E16" s="88"/>
      <c r="F16" s="2"/>
      <c r="G16" s="22" t="s">
        <v>50</v>
      </c>
      <c r="H16" s="2"/>
      <c r="I16" s="26"/>
      <c r="J16" s="27"/>
      <c r="K16" s="29"/>
      <c r="L16" s="6"/>
      <c r="M16" s="6"/>
    </row>
    <row r="17" spans="1:13" s="4" customFormat="1" ht="15.9" customHeight="1">
      <c r="A17" s="6"/>
      <c r="B17" s="38"/>
      <c r="C17" s="88"/>
      <c r="D17" s="89"/>
      <c r="E17" s="88"/>
      <c r="F17" s="2"/>
      <c r="G17" s="22" t="s">
        <v>35</v>
      </c>
      <c r="H17" s="22"/>
      <c r="I17" s="26"/>
      <c r="J17" s="27"/>
      <c r="K17" s="29"/>
      <c r="L17" s="6"/>
      <c r="M17" s="6"/>
    </row>
    <row r="18" spans="1:13" s="4" customFormat="1" ht="15.9" customHeight="1" thickBot="1">
      <c r="A18" s="6"/>
      <c r="B18" s="39"/>
      <c r="C18" s="19"/>
      <c r="D18" s="19"/>
      <c r="E18" s="19"/>
      <c r="F18" s="19"/>
      <c r="G18" s="19"/>
      <c r="H18" s="19"/>
      <c r="I18" s="19"/>
      <c r="J18" s="19"/>
      <c r="K18" s="30"/>
      <c r="L18" s="6"/>
      <c r="M18" s="6"/>
    </row>
    <row r="19" spans="1:13" s="4" customFormat="1" ht="15.9" customHeight="1" thickBot="1">
      <c r="A19" s="6"/>
      <c r="B19" s="36"/>
      <c r="C19" s="2"/>
      <c r="D19" s="2"/>
      <c r="E19" s="2"/>
      <c r="F19" s="2"/>
      <c r="G19" s="2"/>
      <c r="H19" s="2"/>
      <c r="I19" s="2"/>
      <c r="J19" s="2"/>
      <c r="K19" s="29"/>
      <c r="L19" s="6"/>
      <c r="M19" s="6"/>
    </row>
    <row r="20" spans="1:13" s="4" customFormat="1" ht="26.25" customHeight="1">
      <c r="A20" s="6"/>
      <c r="B20" s="41" t="s">
        <v>68</v>
      </c>
      <c r="C20" s="42" t="s">
        <v>43</v>
      </c>
      <c r="D20" s="43"/>
      <c r="E20" s="43"/>
      <c r="F20" s="44" t="s">
        <v>55</v>
      </c>
      <c r="G20" s="44" t="s">
        <v>56</v>
      </c>
      <c r="H20" s="44" t="s">
        <v>57</v>
      </c>
      <c r="I20" s="44" t="s">
        <v>58</v>
      </c>
      <c r="J20" s="44" t="s">
        <v>59</v>
      </c>
      <c r="K20" s="45" t="s">
        <v>60</v>
      </c>
      <c r="L20" s="6"/>
      <c r="M20" s="6"/>
    </row>
    <row r="21" spans="1:13" s="4" customFormat="1" ht="15.9" customHeight="1">
      <c r="A21" s="6"/>
      <c r="B21" s="90">
        <v>1</v>
      </c>
      <c r="C21" s="91" t="s">
        <v>69</v>
      </c>
      <c r="D21" s="92"/>
      <c r="E21" s="93"/>
      <c r="F21" s="94"/>
      <c r="G21" s="94"/>
      <c r="H21" s="94"/>
      <c r="I21" s="94"/>
      <c r="J21" s="95"/>
      <c r="K21" s="96"/>
      <c r="L21" s="6"/>
      <c r="M21" s="6"/>
    </row>
    <row r="22" spans="1:13" s="4" customFormat="1" ht="15.9" customHeight="1">
      <c r="A22" s="6"/>
      <c r="B22" s="46"/>
      <c r="C22" s="66" t="s">
        <v>76</v>
      </c>
      <c r="D22" s="22"/>
      <c r="E22" s="67"/>
      <c r="F22" s="63"/>
      <c r="G22" s="63"/>
      <c r="H22" s="63"/>
      <c r="I22" s="63"/>
      <c r="J22" s="64"/>
      <c r="K22" s="65"/>
      <c r="L22" s="6"/>
      <c r="M22" s="6"/>
    </row>
    <row r="23" spans="1:13" s="4" customFormat="1" ht="15.9" customHeight="1">
      <c r="A23" s="6"/>
      <c r="B23" s="46"/>
      <c r="C23" s="66" t="s">
        <v>66</v>
      </c>
      <c r="D23" s="22"/>
      <c r="E23" s="2"/>
      <c r="F23" s="63">
        <v>1.21</v>
      </c>
      <c r="G23" s="63">
        <v>1</v>
      </c>
      <c r="H23" s="63">
        <v>2.5099999999999998</v>
      </c>
      <c r="I23" s="63">
        <f>+F23*G23*H23</f>
        <v>3.0370999999999997</v>
      </c>
      <c r="J23" s="64">
        <v>300</v>
      </c>
      <c r="K23" s="65">
        <v>405</v>
      </c>
      <c r="L23" s="6"/>
      <c r="M23" s="6"/>
    </row>
    <row r="24" spans="1:13" s="4" customFormat="1" ht="15.9" customHeight="1">
      <c r="A24" s="6"/>
      <c r="B24" s="46"/>
      <c r="C24" s="67" t="s">
        <v>46</v>
      </c>
      <c r="D24" s="22"/>
      <c r="E24" s="67"/>
      <c r="F24" s="63"/>
      <c r="G24" s="63"/>
      <c r="H24" s="63"/>
      <c r="I24" s="63"/>
      <c r="J24" s="64"/>
      <c r="K24" s="65"/>
      <c r="L24" s="6"/>
      <c r="M24" s="6"/>
    </row>
    <row r="25" spans="1:13" s="4" customFormat="1" ht="15.9" customHeight="1">
      <c r="A25" s="6"/>
      <c r="B25" s="47"/>
      <c r="C25" s="68" t="s">
        <v>45</v>
      </c>
      <c r="D25" s="61"/>
      <c r="E25" s="62"/>
      <c r="F25" s="69"/>
      <c r="G25" s="69"/>
      <c r="H25" s="69"/>
      <c r="I25" s="69"/>
      <c r="J25" s="70"/>
      <c r="K25" s="71"/>
      <c r="L25" s="6"/>
      <c r="M25" s="6"/>
    </row>
    <row r="26" spans="1:13" s="4" customFormat="1" ht="15.9" customHeight="1">
      <c r="A26" s="6"/>
      <c r="B26" s="90">
        <v>2</v>
      </c>
      <c r="C26" s="91" t="s">
        <v>69</v>
      </c>
      <c r="D26" s="92"/>
      <c r="E26" s="93"/>
      <c r="F26" s="94"/>
      <c r="G26" s="94"/>
      <c r="H26" s="94"/>
      <c r="I26" s="94"/>
      <c r="J26" s="95"/>
      <c r="K26" s="96"/>
      <c r="L26" s="6"/>
      <c r="M26" s="6"/>
    </row>
    <row r="27" spans="1:13" s="4" customFormat="1" ht="15.9" customHeight="1">
      <c r="A27" s="6"/>
      <c r="B27" s="46"/>
      <c r="C27" s="66" t="s">
        <v>77</v>
      </c>
      <c r="D27" s="22"/>
      <c r="E27" s="67"/>
      <c r="F27" s="63"/>
      <c r="G27" s="63"/>
      <c r="H27" s="63"/>
      <c r="I27" s="63"/>
      <c r="J27" s="64"/>
      <c r="K27" s="65"/>
      <c r="L27" s="6"/>
      <c r="M27" s="6"/>
    </row>
    <row r="28" spans="1:13" s="4" customFormat="1" ht="15.9" customHeight="1">
      <c r="A28" s="6"/>
      <c r="B28" s="46"/>
      <c r="C28" s="66" t="s">
        <v>67</v>
      </c>
      <c r="D28" s="22"/>
      <c r="E28" s="2"/>
      <c r="F28" s="63">
        <v>1.21</v>
      </c>
      <c r="G28" s="63">
        <v>1</v>
      </c>
      <c r="H28" s="63">
        <v>2.52</v>
      </c>
      <c r="I28" s="63">
        <f t="shared" ref="I28" si="0">+PRODUCT(F28:H28)</f>
        <v>3.0491999999999999</v>
      </c>
      <c r="J28" s="64">
        <f>+K28-106</f>
        <v>291</v>
      </c>
      <c r="K28" s="65">
        <v>397</v>
      </c>
      <c r="L28" s="6"/>
      <c r="M28" s="6"/>
    </row>
    <row r="29" spans="1:13" s="4" customFormat="1" ht="15.9" customHeight="1">
      <c r="A29" s="6"/>
      <c r="B29" s="46"/>
      <c r="C29" s="67" t="s">
        <v>47</v>
      </c>
      <c r="D29" s="22"/>
      <c r="E29" s="67"/>
      <c r="F29" s="63"/>
      <c r="G29" s="63"/>
      <c r="H29" s="63"/>
      <c r="I29" s="63"/>
      <c r="J29" s="64"/>
      <c r="K29" s="65"/>
      <c r="L29" s="6"/>
      <c r="M29" s="6"/>
    </row>
    <row r="30" spans="1:13" s="4" customFormat="1" ht="15.9" customHeight="1">
      <c r="A30" s="6"/>
      <c r="B30" s="47"/>
      <c r="C30" s="68" t="s">
        <v>45</v>
      </c>
      <c r="D30" s="61"/>
      <c r="E30" s="62"/>
      <c r="F30" s="69"/>
      <c r="G30" s="69"/>
      <c r="H30" s="69"/>
      <c r="I30" s="69"/>
      <c r="J30" s="70"/>
      <c r="K30" s="71"/>
      <c r="L30" s="6"/>
      <c r="M30" s="6"/>
    </row>
    <row r="31" spans="1:13" s="4" customFormat="1" ht="15.9" customHeight="1">
      <c r="A31" s="6"/>
      <c r="B31" s="46"/>
      <c r="C31" s="51"/>
      <c r="D31" s="48"/>
      <c r="E31" s="48"/>
      <c r="F31" s="49"/>
      <c r="G31" s="49"/>
      <c r="H31" s="49"/>
      <c r="I31" s="49"/>
      <c r="J31" s="49"/>
      <c r="K31" s="50"/>
      <c r="L31" s="6"/>
      <c r="M31" s="6"/>
    </row>
    <row r="32" spans="1:13" s="4" customFormat="1" ht="15.9" customHeight="1">
      <c r="A32" s="6"/>
      <c r="B32" s="46"/>
      <c r="C32" s="51"/>
      <c r="D32" s="48"/>
      <c r="E32" s="48"/>
      <c r="F32" s="49"/>
      <c r="G32" s="49"/>
      <c r="H32" s="49"/>
      <c r="I32" s="49"/>
      <c r="J32" s="49"/>
      <c r="K32" s="50"/>
      <c r="L32" s="6"/>
      <c r="M32" s="6"/>
    </row>
    <row r="33" spans="1:13" s="4" customFormat="1" ht="15.9" customHeight="1">
      <c r="A33" s="6"/>
      <c r="B33" s="46"/>
      <c r="C33" s="51"/>
      <c r="D33" s="48"/>
      <c r="E33" s="48"/>
      <c r="F33" s="49"/>
      <c r="G33" s="49"/>
      <c r="H33" s="49"/>
      <c r="I33" s="49"/>
      <c r="J33" s="49"/>
      <c r="K33" s="50"/>
      <c r="L33" s="6"/>
      <c r="M33" s="6"/>
    </row>
    <row r="34" spans="1:13" s="4" customFormat="1" ht="15.9" customHeight="1">
      <c r="A34" s="6"/>
      <c r="B34" s="46"/>
      <c r="C34" s="51"/>
      <c r="D34" s="48"/>
      <c r="E34" s="48"/>
      <c r="F34" s="49"/>
      <c r="G34" s="49"/>
      <c r="H34" s="49"/>
      <c r="I34" s="49"/>
      <c r="J34" s="49"/>
      <c r="K34" s="50"/>
      <c r="L34" s="6"/>
      <c r="M34" s="6"/>
    </row>
    <row r="35" spans="1:13" s="4" customFormat="1" ht="15.9" customHeight="1">
      <c r="A35" s="6"/>
      <c r="B35" s="46"/>
      <c r="C35" s="51"/>
      <c r="D35" s="48"/>
      <c r="E35" s="48"/>
      <c r="F35" s="49"/>
      <c r="G35" s="49"/>
      <c r="H35" s="49"/>
      <c r="I35" s="49"/>
      <c r="J35" s="49"/>
      <c r="K35" s="50"/>
      <c r="L35" s="6"/>
      <c r="M35" s="6"/>
    </row>
    <row r="36" spans="1:13" s="4" customFormat="1" ht="15.9" customHeight="1">
      <c r="A36" s="6"/>
      <c r="B36" s="46"/>
      <c r="C36" s="51"/>
      <c r="D36" s="48"/>
      <c r="E36" s="48"/>
      <c r="F36" s="49"/>
      <c r="G36" s="49"/>
      <c r="H36" s="49"/>
      <c r="I36" s="49"/>
      <c r="J36" s="49"/>
      <c r="K36" s="50"/>
      <c r="L36" s="6"/>
      <c r="M36" s="6"/>
    </row>
    <row r="37" spans="1:13" s="4" customFormat="1" ht="15.9" customHeight="1">
      <c r="A37" s="6"/>
      <c r="B37" s="46"/>
      <c r="C37" s="51"/>
      <c r="D37" s="48"/>
      <c r="E37" s="48"/>
      <c r="F37" s="49"/>
      <c r="G37" s="49"/>
      <c r="H37" s="49"/>
      <c r="I37" s="49"/>
      <c r="J37" s="49"/>
      <c r="K37" s="50"/>
      <c r="L37" s="6"/>
      <c r="M37" s="6"/>
    </row>
    <row r="38" spans="1:13" s="4" customFormat="1" ht="15.9" customHeight="1" thickBot="1">
      <c r="A38" s="6"/>
      <c r="B38" s="52"/>
      <c r="C38" s="53"/>
      <c r="D38" s="54"/>
      <c r="E38" s="54"/>
      <c r="F38" s="56"/>
      <c r="G38" s="56"/>
      <c r="H38" s="56"/>
      <c r="I38" s="56"/>
      <c r="J38" s="56"/>
      <c r="K38" s="57"/>
      <c r="L38" s="6"/>
      <c r="M38" s="6"/>
    </row>
    <row r="39" spans="1:13" s="4" customFormat="1" ht="15.9" customHeight="1" thickBot="1">
      <c r="A39" s="6"/>
      <c r="B39" s="58"/>
      <c r="C39" s="59" t="s">
        <v>65</v>
      </c>
      <c r="D39" s="55"/>
      <c r="E39" s="55"/>
      <c r="F39" s="60"/>
      <c r="G39" s="60"/>
      <c r="H39" s="60"/>
      <c r="I39" s="98">
        <f>+SUM(I21:I38)</f>
        <v>6.0862999999999996</v>
      </c>
      <c r="J39" s="99">
        <f>+SUM(J21:J38)</f>
        <v>591</v>
      </c>
      <c r="K39" s="100">
        <f>+SUM(K21:K38)</f>
        <v>802</v>
      </c>
      <c r="L39" s="6"/>
      <c r="M39" s="6"/>
    </row>
    <row r="40" spans="1:13" s="4" customFormat="1" ht="15.9" customHeight="1">
      <c r="A40" s="6"/>
      <c r="B40" s="36"/>
      <c r="C40" s="2"/>
      <c r="D40" s="2"/>
      <c r="E40" s="2"/>
      <c r="F40" s="2"/>
      <c r="G40" s="2"/>
      <c r="H40" s="2"/>
      <c r="I40" s="2"/>
      <c r="J40" s="72"/>
      <c r="K40" s="73"/>
      <c r="L40" s="6"/>
      <c r="M40" s="6"/>
    </row>
    <row r="41" spans="1:13" s="4" customFormat="1" ht="15.9" customHeight="1">
      <c r="A41" s="6"/>
      <c r="B41" s="36"/>
      <c r="C41" s="74"/>
      <c r="D41" s="2"/>
      <c r="E41" s="2"/>
      <c r="F41" s="2"/>
      <c r="G41" s="2"/>
      <c r="H41" s="74" t="s">
        <v>44</v>
      </c>
      <c r="I41" s="2"/>
      <c r="J41" s="72"/>
      <c r="K41" s="73"/>
      <c r="L41" s="6"/>
      <c r="M41" s="6"/>
    </row>
    <row r="42" spans="1:13" s="4" customFormat="1" ht="15.9" customHeight="1">
      <c r="A42" s="6"/>
      <c r="B42" s="36"/>
      <c r="C42" s="32"/>
      <c r="D42" s="2"/>
      <c r="E42" s="2"/>
      <c r="F42" s="2"/>
      <c r="G42" s="2"/>
      <c r="H42" s="77" t="s">
        <v>62</v>
      </c>
      <c r="I42" s="2"/>
      <c r="J42" s="72"/>
      <c r="K42" s="73"/>
      <c r="L42" s="6"/>
      <c r="M42" s="6"/>
    </row>
    <row r="43" spans="1:13" s="4" customFormat="1" ht="15.9" customHeight="1">
      <c r="A43" s="6"/>
      <c r="B43" s="36"/>
      <c r="C43" s="74"/>
      <c r="D43" s="2"/>
      <c r="E43" s="2"/>
      <c r="F43" s="2"/>
      <c r="G43" s="2"/>
      <c r="H43" s="77" t="s">
        <v>63</v>
      </c>
      <c r="I43" s="2"/>
      <c r="J43" s="72"/>
      <c r="K43" s="73"/>
      <c r="L43" s="6"/>
      <c r="M43" s="6"/>
    </row>
    <row r="44" spans="1:13" s="4" customFormat="1" ht="15.9" customHeight="1">
      <c r="A44" s="6"/>
      <c r="B44" s="36"/>
      <c r="C44" s="32"/>
      <c r="D44" s="2"/>
      <c r="E44" s="2"/>
      <c r="F44" s="2"/>
      <c r="G44" s="2"/>
      <c r="H44" s="78" t="s">
        <v>61</v>
      </c>
      <c r="I44" s="2"/>
      <c r="J44" s="72"/>
      <c r="K44" s="73"/>
      <c r="L44" s="6"/>
      <c r="M44" s="6"/>
    </row>
    <row r="45" spans="1:13" s="4" customFormat="1" ht="15.9" customHeight="1">
      <c r="A45" s="6"/>
      <c r="B45" s="36"/>
      <c r="C45" s="32"/>
      <c r="D45" s="2"/>
      <c r="E45" s="2"/>
      <c r="F45" s="2"/>
      <c r="G45" s="2"/>
      <c r="H45" s="79" t="s">
        <v>64</v>
      </c>
      <c r="I45" s="2"/>
      <c r="J45" s="72"/>
      <c r="K45" s="73"/>
      <c r="L45" s="6"/>
      <c r="M45" s="6"/>
    </row>
    <row r="46" spans="1:13" s="4" customFormat="1" ht="15.9" customHeight="1" thickBot="1">
      <c r="A46" s="6"/>
      <c r="B46" s="39"/>
      <c r="C46" s="19"/>
      <c r="D46" s="19"/>
      <c r="E46" s="19"/>
      <c r="F46" s="19"/>
      <c r="G46" s="19"/>
      <c r="H46" s="19"/>
      <c r="I46" s="19"/>
      <c r="J46" s="75"/>
      <c r="K46" s="76"/>
      <c r="L46" s="6"/>
      <c r="M46" s="6"/>
    </row>
    <row r="47" spans="1:13" ht="15" customHeight="1">
      <c r="A47" s="6"/>
      <c r="B47" s="6"/>
      <c r="C47" s="20"/>
      <c r="D47" s="6"/>
      <c r="E47" s="6"/>
      <c r="F47" s="6"/>
      <c r="G47" s="6"/>
      <c r="H47" s="6"/>
      <c r="I47" s="6"/>
      <c r="J47" s="6"/>
      <c r="K47" s="6"/>
      <c r="L47" s="6"/>
    </row>
    <row r="48" spans="1:1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</sheetData>
  <mergeCells count="3">
    <mergeCell ref="I2:I3"/>
    <mergeCell ref="J2:K3"/>
    <mergeCell ref="F2:H5"/>
  </mergeCells>
  <conditionalFormatting sqref="D8:E12 C10:C12 I15:J17 F20:I20 F21:K30">
    <cfRule type="expression" dxfId="4" priority="80">
      <formula>"&lt;1"</formula>
    </cfRule>
  </conditionalFormatting>
  <conditionalFormatting sqref="G31:K39">
    <cfRule type="expression" dxfId="3" priority="1">
      <formula>"&lt;1"</formula>
    </cfRule>
  </conditionalFormatting>
  <conditionalFormatting sqref="H23:K25 H28:K30">
    <cfRule type="expression" dxfId="2" priority="41">
      <formula>"&lt;1"</formula>
    </cfRule>
  </conditionalFormatting>
  <conditionalFormatting sqref="I13:J13">
    <cfRule type="expression" dxfId="1" priority="85">
      <formula>"&lt;1"</formula>
    </cfRule>
  </conditionalFormatting>
  <conditionalFormatting sqref="J40:K46">
    <cfRule type="expression" dxfId="0" priority="78">
      <formula>"&lt;1"</formula>
    </cfRule>
  </conditionalFormatting>
  <hyperlinks>
    <hyperlink ref="H44" r:id="rId1" xr:uid="{6120A987-D9A9-45B3-A1A4-8F071ABD93BF}"/>
  </hyperlinks>
  <printOptions horizontalCentered="1" verticalCentered="1"/>
  <pageMargins left="0.7" right="0.7" top="0.75" bottom="0.75" header="0.3" footer="0.3"/>
  <pageSetup scale="96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ff2fa-cd4c-4111-a6ab-75351164d87f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3" ma:contentTypeDescription="Crear nuevo documento." ma:contentTypeScope="" ma:versionID="16cf257b6c387c7fea6f0b759aa0b013">
  <xsd:schema xmlns:xsd="http://www.w3.org/2001/XMLSchema" xmlns:xs="http://www.w3.org/2001/XMLSchema" xmlns:p="http://schemas.microsoft.com/office/2006/metadata/properties" xmlns:ns2="fa8ec313-c772-4af8-8363-8ff52de2e6b8" xmlns:ns3="6a7ff2fa-cd4c-4111-a6ab-75351164d87f" targetNamespace="http://schemas.microsoft.com/office/2006/metadata/properties" ma:root="true" ma:fieldsID="8d0af6c36f4bb39778c9f918492ed4d2" ns2:_="" ns3:_=""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722E21-E115-4FA4-BC8A-797718895F5E}">
  <ds:schemaRefs>
    <ds:schemaRef ds:uri="9e4cd97f-6558-4798-9599-ce7ac5aad983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797a9e7e-0d0d-47bd-9d8b-0d5d82d99c20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6644572-D1D6-4432-8E86-0C0E22CE97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AF5EE6-6EC3-4A2F-BA39-F867505FB0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Informacion para PL</vt:lpstr>
      <vt:lpstr>PL</vt:lpstr>
      <vt:lpstr>PL!Área_de_impresión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Leopoldo Fernandez Suarez</dc:creator>
  <cp:lastModifiedBy>Marianela Itala</cp:lastModifiedBy>
  <cp:lastPrinted>2024-08-07T17:59:58Z</cp:lastPrinted>
  <dcterms:created xsi:type="dcterms:W3CDTF">2023-11-21T03:24:00Z</dcterms:created>
  <dcterms:modified xsi:type="dcterms:W3CDTF">2024-08-07T22:34:36Z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3082-5.6.0.8082</vt:lpwstr>
  </property>
  <property fmtid="{D5CDD505-2E9C-101B-9397-08002B2CF9AE}" pid="3" name="ContentTypeId">
    <vt:lpwstr>0x0101008C0FDD3EE9C26F4CA38A0CE1A876A831</vt:lpwstr>
  </property>
  <property fmtid="{D5CDD505-2E9C-101B-9397-08002B2CF9AE}" pid="4" name="MediaServiceImageTags">
    <vt:lpwstr/>
  </property>
</Properties>
</file>